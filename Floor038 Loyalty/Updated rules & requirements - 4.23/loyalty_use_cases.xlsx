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Use Cases" sheetId="2" state="visible" r:id="rId2"/>
    <sheet xmlns:r="http://schemas.openxmlformats.org/officeDocument/2006/relationships" name="Gap &amp; Edge Cases" sheetId="3" state="visible" r:id="rId3"/>
    <sheet xmlns:r="http://schemas.openxmlformats.org/officeDocument/2006/relationships" name="Epics" sheetId="4" state="visible" r:id="rId4"/>
    <sheet xmlns:r="http://schemas.openxmlformats.org/officeDocument/2006/relationships" name="Decision Log" sheetId="5" state="visible" r:id="rId5"/>
    <sheet xmlns:r="http://schemas.openxmlformats.org/officeDocument/2006/relationships" name="Requirements Map" sheetId="6" state="visible" r:id="rId6"/>
    <sheet xmlns:r="http://schemas.openxmlformats.org/officeDocument/2006/relationships" name="Unaddressed Requirements" sheetId="7" state="visible" r:id="rId7"/>
    <sheet xmlns:r="http://schemas.openxmlformats.org/officeDocument/2006/relationships" name="Summary" sheetId="8" state="visible" r:id="rId8"/>
  </sheets>
  <definedNames/>
  <calcPr calcId="191028" fullCalcOnLoad="1" iterateDelta="0.0001"/>
</workbook>
</file>

<file path=xl/styles.xml><?xml version="1.0" encoding="utf-8"?>
<styleSheet xmlns="http://schemas.openxmlformats.org/spreadsheetml/2006/main">
  <numFmts count="0"/>
  <fonts count="46">
    <font>
      <name val="Calibri"/>
      <charset val="1"/>
      <family val="2"/>
      <color theme="1"/>
      <sz val="11"/>
    </font>
    <font>
      <name val="Arial"/>
      <charset val="1"/>
      <family val="2"/>
      <b val="1"/>
      <color rgb="FFFFFFFF"/>
      <sz val="11"/>
    </font>
    <font>
      <name val="Arial"/>
      <charset val="1"/>
      <family val="2"/>
      <color rgb="FF1B4F72"/>
      <sz val="10"/>
    </font>
    <font>
      <name val="Arial"/>
      <charset val="1"/>
      <family val="2"/>
      <b val="1"/>
      <color rgb="FF276221"/>
      <sz val="10"/>
    </font>
    <font>
      <name val="Arial"/>
      <charset val="1"/>
      <family val="2"/>
      <b val="1"/>
      <color rgb="FF1F3864"/>
      <sz val="10"/>
    </font>
    <font>
      <name val="Arial"/>
      <charset val="1"/>
      <family val="2"/>
      <color rgb="FF595959"/>
      <sz val="10"/>
    </font>
    <font>
      <name val="Arial"/>
      <charset val="1"/>
      <family val="2"/>
      <b val="1"/>
      <color rgb="FF9C5700"/>
      <sz val="10"/>
    </font>
    <font>
      <name val="Arial"/>
      <charset val="1"/>
      <family val="2"/>
      <color rgb="FF1E5631"/>
      <sz val="10"/>
    </font>
    <font>
      <name val="Arial"/>
      <charset val="1"/>
      <family val="2"/>
      <color rgb="FF7D4E00"/>
      <sz val="10"/>
    </font>
    <font>
      <name val="Arial"/>
      <charset val="1"/>
      <family val="2"/>
      <b val="1"/>
      <color rgb="FF375623"/>
      <sz val="10"/>
    </font>
    <font>
      <name val="Arial"/>
      <charset val="1"/>
      <family val="2"/>
      <b val="1"/>
      <color rgb="FF9C0006"/>
      <sz val="10"/>
    </font>
    <font>
      <name val="Arial"/>
      <charset val="1"/>
      <family val="2"/>
      <color rgb="FF4A235A"/>
      <sz val="10"/>
    </font>
    <font>
      <name val="Arial"/>
      <charset val="1"/>
      <family val="2"/>
      <b val="1"/>
      <color rgb="FF833C00"/>
      <sz val="10"/>
    </font>
    <font>
      <name val="Arial"/>
      <charset val="1"/>
      <family val="2"/>
      <color rgb="FF784212"/>
      <sz val="10"/>
    </font>
    <font>
      <name val="Arial"/>
      <charset val="1"/>
      <family val="2"/>
      <color rgb="FF154360"/>
      <sz val="10"/>
    </font>
    <font>
      <name val="Arial"/>
      <charset val="1"/>
      <family val="2"/>
      <color rgb="FF641E16"/>
      <sz val="10"/>
    </font>
    <font>
      <name val="Arial"/>
      <charset val="1"/>
      <family val="2"/>
      <color rgb="FF424242"/>
      <sz val="10"/>
    </font>
    <font>
      <name val="Arial"/>
      <charset val="1"/>
      <family val="2"/>
      <color rgb="FF833C00"/>
      <sz val="10"/>
    </font>
    <font>
      <name val="Arial"/>
      <charset val="1"/>
      <family val="2"/>
      <color rgb="FF1F3864"/>
      <sz val="10"/>
    </font>
    <font>
      <name val="Arial"/>
      <charset val="1"/>
      <family val="2"/>
      <color rgb="FF404040"/>
      <sz val="10"/>
    </font>
    <font>
      <name val="Arial"/>
      <charset val="1"/>
      <color rgb="FF1E5631"/>
      <sz val="10"/>
    </font>
    <font>
      <name val="Arial"/>
      <charset val="1"/>
      <b val="1"/>
      <color rgb="FF9C5700"/>
      <sz val="10"/>
    </font>
    <font>
      <name val="Arial"/>
      <charset val="1"/>
      <b val="1"/>
      <color rgb="FF1F3864"/>
      <sz val="10"/>
    </font>
    <font>
      <name val="Arial"/>
      <charset val="1"/>
      <color rgb="FF595959"/>
      <sz val="10"/>
    </font>
    <font>
      <name val="Arial"/>
      <charset val="1"/>
      <color rgb="FF1F3864"/>
      <sz val="10"/>
    </font>
    <font>
      <name val="Arial"/>
      <charset val="1"/>
      <b val="1"/>
      <color rgb="FF375623"/>
      <sz val="10"/>
    </font>
    <font>
      <name val="Arial"/>
      <charset val="1"/>
      <b val="1"/>
      <color rgb="FF9C0006"/>
      <sz val="10"/>
    </font>
    <font>
      <name val="Arial"/>
      <charset val="1"/>
      <color rgb="FF7D4E00"/>
      <sz val="10"/>
    </font>
    <font>
      <name val="Arial"/>
      <charset val="1"/>
      <color rgb="FF424242"/>
      <sz val="10"/>
    </font>
    <font>
      <name val="Arial"/>
      <charset val="1"/>
      <color rgb="FF375623"/>
      <sz val="10"/>
    </font>
    <font>
      <name val="Arial"/>
      <charset val="1"/>
      <b val="1"/>
      <color rgb="FF276221"/>
      <sz val="10"/>
    </font>
    <font>
      <name val="Arial"/>
      <charset val="1"/>
      <color rgb="FF784212"/>
      <sz val="10"/>
    </font>
    <font>
      <name val="Arial"/>
      <charset val="1"/>
      <color rgb="FF404040"/>
      <sz val="10"/>
    </font>
    <font>
      <name val="Arial"/>
      <charset val="1"/>
      <color rgb="FF4A235A"/>
      <sz val="10"/>
    </font>
    <font>
      <name val="Arial"/>
      <family val="2"/>
      <sz val="10"/>
    </font>
    <font>
      <name val="Arial"/>
      <charset val="1"/>
      <b val="1"/>
      <color rgb="FF1F4E79"/>
      <sz val="14"/>
    </font>
    <font>
      <name val="Arial"/>
      <charset val="1"/>
      <b val="1"/>
      <sz val="11"/>
    </font>
    <font>
      <name val="Arial"/>
      <charset val="1"/>
      <sz val="11"/>
    </font>
    <font>
      <name val="Arial"/>
      <charset val="1"/>
      <sz val="10"/>
    </font>
    <font>
      <name val="Arial"/>
      <charset val="1"/>
      <b val="1"/>
      <color rgb="FF833C00"/>
      <sz val="10"/>
    </font>
    <font>
      <b val="1"/>
      <color rgb="00FFFFFF"/>
    </font>
    <font>
      <b val="1"/>
      <color rgb="00305496"/>
      <sz val="18"/>
    </font>
    <font>
      <i val="1"/>
      <color rgb="00595959"/>
      <sz val="11"/>
    </font>
    <font>
      <sz val="11"/>
    </font>
    <font>
      <b val="1"/>
      <color rgb="00305496"/>
      <sz val="13"/>
    </font>
    <font>
      <name val="Consolas"/>
      <sz val="10"/>
    </font>
  </fonts>
  <fills count="25">
    <fill>
      <patternFill/>
    </fill>
    <fill>
      <patternFill patternType="gray125"/>
    </fill>
    <fill>
      <patternFill patternType="solid">
        <fgColor rgb="FF1F4E79"/>
        <bgColor rgb="FF1B4F72"/>
      </patternFill>
    </fill>
    <fill>
      <patternFill patternType="solid">
        <fgColor rgb="FFD6E4F0"/>
        <bgColor rgb="FFDAE8FC"/>
      </patternFill>
    </fill>
    <fill>
      <patternFill patternType="solid">
        <fgColor rgb="FFC6EFCE"/>
        <bgColor rgb="FFD5E8D4"/>
      </patternFill>
    </fill>
    <fill>
      <patternFill patternType="solid">
        <fgColor rgb="FFDDEBF7"/>
        <bgColor rgb="FFDAE8FC"/>
      </patternFill>
    </fill>
    <fill>
      <patternFill patternType="solid">
        <fgColor rgb="FFF2F2F2"/>
        <bgColor rgb="FFF5F5F5"/>
      </patternFill>
    </fill>
    <fill>
      <patternFill patternType="solid">
        <fgColor rgb="FFFFEB9C"/>
        <bgColor rgb="FFFFE6CC"/>
      </patternFill>
    </fill>
    <fill>
      <patternFill patternType="solid">
        <fgColor rgb="FFD5E8D4"/>
        <bgColor rgb="FFE2EFDA"/>
      </patternFill>
    </fill>
    <fill>
      <patternFill patternType="solid">
        <fgColor rgb="FFFFF2CC"/>
        <bgColor rgb="FFFFE6CC"/>
      </patternFill>
    </fill>
    <fill>
      <patternFill patternType="solid">
        <fgColor rgb="FFE2EFDA"/>
        <bgColor rgb="FFEDEDED"/>
      </patternFill>
    </fill>
    <fill>
      <patternFill patternType="solid">
        <fgColor rgb="FFFFC7CE"/>
        <bgColor rgb="FFFFCCCC"/>
      </patternFill>
    </fill>
    <fill>
      <patternFill patternType="solid">
        <fgColor rgb="FFE1D5E7"/>
        <bgColor rgb="FFD6E4F0"/>
      </patternFill>
    </fill>
    <fill>
      <patternFill patternType="solid">
        <fgColor rgb="FFFCE4D6"/>
        <bgColor rgb="FFFFE6CC"/>
      </patternFill>
    </fill>
    <fill>
      <patternFill patternType="solid">
        <fgColor rgb="FFFFE6CC"/>
        <bgColor rgb="FFFCE4D6"/>
      </patternFill>
    </fill>
    <fill>
      <patternFill patternType="solid">
        <fgColor rgb="FFDAE8FC"/>
        <bgColor rgb="FFDDEBF7"/>
      </patternFill>
    </fill>
    <fill>
      <patternFill patternType="solid">
        <fgColor rgb="FFF8CECC"/>
        <bgColor rgb="FFFFCCCC"/>
      </patternFill>
    </fill>
    <fill>
      <patternFill patternType="solid">
        <fgColor rgb="FFF5F5F5"/>
        <bgColor rgb="FFF2F2F2"/>
      </patternFill>
    </fill>
    <fill>
      <patternFill patternType="solid">
        <fgColor rgb="FFFFCCCC"/>
        <bgColor rgb="FFFFC7CE"/>
      </patternFill>
    </fill>
    <fill>
      <patternFill patternType="solid">
        <fgColor rgb="FFEDEDED"/>
        <bgColor rgb="FFF2F2F2"/>
      </patternFill>
    </fill>
    <fill>
      <patternFill patternType="solid">
        <fgColor rgb="FFEDE7F6"/>
        <bgColor rgb="FFEDEDED"/>
      </patternFill>
    </fill>
    <fill>
      <patternFill patternType="solid">
        <fgColor rgb="00305496"/>
        <bgColor rgb="00305496"/>
      </patternFill>
    </fill>
    <fill>
      <patternFill patternType="solid">
        <fgColor rgb="00C00000"/>
        <bgColor rgb="00C00000"/>
      </patternFill>
    </fill>
    <fill>
      <patternFill patternType="solid">
        <fgColor rgb="002F5597"/>
        <bgColor rgb="002F5597"/>
      </patternFill>
    </fill>
    <fill>
      <patternFill patternType="solid">
        <fgColor rgb="00C0504D"/>
        <bgColor rgb="00C0504D"/>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79">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wrapText="1"/>
    </xf>
    <xf numFmtId="0" fontId="2" fillId="3" borderId="1" applyAlignment="1" pivotButton="0" quotePrefix="0" xfId="0">
      <alignment vertical="top" wrapText="1"/>
    </xf>
    <xf numFmtId="0" fontId="3" fillId="4" borderId="1" applyAlignment="1" pivotButton="0" quotePrefix="0" xfId="0">
      <alignment horizontal="center" vertical="top" wrapText="1"/>
    </xf>
    <xf numFmtId="0" fontId="4" fillId="5" borderId="1" applyAlignment="1" pivotButton="0" quotePrefix="0" xfId="0">
      <alignment horizontal="center" vertical="top" wrapText="1"/>
    </xf>
    <xf numFmtId="0" fontId="5" fillId="6" borderId="1" applyAlignment="1" pivotButton="0" quotePrefix="0" xfId="0">
      <alignment horizontal="center" vertical="top" wrapText="1"/>
    </xf>
    <xf numFmtId="0" fontId="6" fillId="7" borderId="1" applyAlignment="1" pivotButton="0" quotePrefix="0" xfId="0">
      <alignment horizontal="center" vertical="top" wrapText="1"/>
    </xf>
    <xf numFmtId="0" fontId="7" fillId="8" borderId="1" applyAlignment="1" pivotButton="0" quotePrefix="0" xfId="0">
      <alignment horizontal="center" vertical="top" wrapText="1"/>
    </xf>
    <xf numFmtId="0" fontId="7" fillId="8" borderId="1" applyAlignment="1" pivotButton="0" quotePrefix="0" xfId="0">
      <alignment vertical="top" wrapText="1"/>
    </xf>
    <xf numFmtId="0" fontId="8" fillId="9" borderId="1" applyAlignment="1" pivotButton="0" quotePrefix="0" xfId="0">
      <alignment horizontal="center" vertical="top" wrapText="1"/>
    </xf>
    <xf numFmtId="0" fontId="8" fillId="9" borderId="1" applyAlignment="1" pivotButton="0" quotePrefix="0" xfId="0">
      <alignment vertical="top" wrapText="1"/>
    </xf>
    <xf numFmtId="0" fontId="9" fillId="10" borderId="1" applyAlignment="1" pivotButton="0" quotePrefix="0" xfId="0">
      <alignment horizontal="center" vertical="top" wrapText="1"/>
    </xf>
    <xf numFmtId="0" fontId="10" fillId="11" borderId="1" applyAlignment="1" pivotButton="0" quotePrefix="0" xfId="0">
      <alignment horizontal="center" vertical="top" wrapText="1"/>
    </xf>
    <xf numFmtId="0" fontId="11" fillId="12" borderId="1" applyAlignment="1" pivotButton="0" quotePrefix="0" xfId="0">
      <alignment horizontal="center" vertical="top" wrapText="1"/>
    </xf>
    <xf numFmtId="0" fontId="11" fillId="12" borderId="1" applyAlignment="1" pivotButton="0" quotePrefix="0" xfId="0">
      <alignment vertical="top" wrapText="1"/>
    </xf>
    <xf numFmtId="0" fontId="12" fillId="13" borderId="1" applyAlignment="1" pivotButton="0" quotePrefix="0" xfId="0">
      <alignment horizontal="center" vertical="top" wrapText="1"/>
    </xf>
    <xf numFmtId="0" fontId="13" fillId="14" borderId="1" applyAlignment="1" pivotButton="0" quotePrefix="0" xfId="0">
      <alignment horizontal="center" vertical="top" wrapText="1"/>
    </xf>
    <xf numFmtId="0" fontId="13" fillId="14" borderId="1" applyAlignment="1" pivotButton="0" quotePrefix="0" xfId="0">
      <alignment vertical="top" wrapText="1"/>
    </xf>
    <xf numFmtId="0" fontId="14" fillId="15" borderId="1" applyAlignment="1" pivotButton="0" quotePrefix="0" xfId="0">
      <alignment horizontal="center" vertical="top" wrapText="1"/>
    </xf>
    <xf numFmtId="0" fontId="14" fillId="15" borderId="1" applyAlignment="1" pivotButton="0" quotePrefix="0" xfId="0">
      <alignment vertical="top" wrapText="1"/>
    </xf>
    <xf numFmtId="0" fontId="15" fillId="16" borderId="1" applyAlignment="1" pivotButton="0" quotePrefix="0" xfId="0">
      <alignment horizontal="center" vertical="top" wrapText="1"/>
    </xf>
    <xf numFmtId="0" fontId="15" fillId="16" borderId="1" applyAlignment="1" pivotButton="0" quotePrefix="0" xfId="0">
      <alignment vertical="top" wrapText="1"/>
    </xf>
    <xf numFmtId="0" fontId="16" fillId="17" borderId="1" applyAlignment="1" pivotButton="0" quotePrefix="0" xfId="0">
      <alignment horizontal="center" vertical="top" wrapText="1"/>
    </xf>
    <xf numFmtId="0" fontId="16" fillId="17" borderId="1" applyAlignment="1" pivotButton="0" quotePrefix="0" xfId="0">
      <alignment vertical="top" wrapText="1"/>
    </xf>
    <xf numFmtId="0" fontId="17" fillId="13" borderId="1" applyAlignment="1" pivotButton="0" quotePrefix="0" xfId="0">
      <alignment horizontal="center" vertical="top" wrapText="1"/>
    </xf>
    <xf numFmtId="0" fontId="17" fillId="13" borderId="1" applyAlignment="1" pivotButton="0" quotePrefix="0" xfId="0">
      <alignment vertical="top" wrapText="1"/>
    </xf>
    <xf numFmtId="0" fontId="18" fillId="5" borderId="1" applyAlignment="1" pivotButton="0" quotePrefix="0" xfId="0">
      <alignment horizontal="center" vertical="top" wrapText="1"/>
    </xf>
    <xf numFmtId="0" fontId="18" fillId="5" borderId="1" applyAlignment="1" pivotButton="0" quotePrefix="0" xfId="0">
      <alignment vertical="top" wrapText="1"/>
    </xf>
    <xf numFmtId="0" fontId="10" fillId="18" borderId="1" applyAlignment="1" pivotButton="0" quotePrefix="0" xfId="0">
      <alignment horizontal="center" vertical="top" wrapText="1"/>
    </xf>
    <xf numFmtId="0" fontId="5" fillId="19" borderId="1" applyAlignment="1" pivotButton="0" quotePrefix="0" xfId="0">
      <alignment horizontal="center" vertical="top" wrapText="1"/>
    </xf>
    <xf numFmtId="0" fontId="5" fillId="19" borderId="1" applyAlignment="1" pivotButton="0" quotePrefix="0" xfId="0">
      <alignment vertical="top" wrapText="1"/>
    </xf>
    <xf numFmtId="0" fontId="19" fillId="6" borderId="1" applyAlignment="1" pivotButton="0" quotePrefix="0" xfId="0">
      <alignment horizontal="center" vertical="top" wrapText="1"/>
    </xf>
    <xf numFmtId="0" fontId="19" fillId="6" borderId="1" applyAlignment="1" pivotButton="0" quotePrefix="0" xfId="0">
      <alignment vertical="top" wrapText="1"/>
    </xf>
    <xf numFmtId="0" fontId="20" fillId="8" borderId="1" applyAlignment="1" pivotButton="0" quotePrefix="0" xfId="0">
      <alignment horizontal="center" vertical="top" wrapText="1"/>
    </xf>
    <xf numFmtId="0" fontId="20" fillId="8" borderId="1" applyAlignment="1" pivotButton="0" quotePrefix="0" xfId="0">
      <alignment vertical="top" wrapText="1"/>
    </xf>
    <xf numFmtId="0" fontId="21" fillId="7" borderId="1" applyAlignment="1" pivotButton="0" quotePrefix="0" xfId="0">
      <alignment horizontal="center" vertical="top" wrapText="1"/>
    </xf>
    <xf numFmtId="0" fontId="22" fillId="5" borderId="1" applyAlignment="1" pivotButton="0" quotePrefix="0" xfId="0">
      <alignment horizontal="center" vertical="top" wrapText="1"/>
    </xf>
    <xf numFmtId="0" fontId="23" fillId="6" borderId="1" applyAlignment="1" pivotButton="0" quotePrefix="0" xfId="0">
      <alignment horizontal="center" vertical="top" wrapText="1"/>
    </xf>
    <xf numFmtId="0" fontId="24" fillId="5" borderId="1" applyAlignment="1" pivotButton="0" quotePrefix="0" xfId="0">
      <alignment horizontal="center" vertical="top" wrapText="1"/>
    </xf>
    <xf numFmtId="0" fontId="24" fillId="5" borderId="1" applyAlignment="1" pivotButton="0" quotePrefix="0" xfId="0">
      <alignment vertical="top" wrapText="1"/>
    </xf>
    <xf numFmtId="0" fontId="25" fillId="10" borderId="1" applyAlignment="1" pivotButton="0" quotePrefix="0" xfId="0">
      <alignment horizontal="center" vertical="top" wrapText="1"/>
    </xf>
    <xf numFmtId="0" fontId="26" fillId="11" borderId="1" applyAlignment="1" pivotButton="0" quotePrefix="0" xfId="0">
      <alignment horizontal="center" vertical="top" wrapText="1"/>
    </xf>
    <xf numFmtId="0" fontId="27" fillId="9" borderId="1" applyAlignment="1" pivotButton="0" quotePrefix="0" xfId="0">
      <alignment horizontal="center" vertical="top" wrapText="1"/>
    </xf>
    <xf numFmtId="0" fontId="27" fillId="9" borderId="1" applyAlignment="1" pivotButton="0" quotePrefix="0" xfId="0">
      <alignment vertical="top" wrapText="1"/>
    </xf>
    <xf numFmtId="0" fontId="28" fillId="17" borderId="1" applyAlignment="1" pivotButton="0" quotePrefix="0" xfId="0">
      <alignment horizontal="center" vertical="top" wrapText="1"/>
    </xf>
    <xf numFmtId="0" fontId="28" fillId="17" borderId="1" applyAlignment="1" pivotButton="0" quotePrefix="0" xfId="0">
      <alignment vertical="top" wrapText="1"/>
    </xf>
    <xf numFmtId="0" fontId="26" fillId="18" borderId="1" applyAlignment="1" pivotButton="0" quotePrefix="0" xfId="0">
      <alignment horizontal="center" vertical="top" wrapText="1"/>
    </xf>
    <xf numFmtId="0" fontId="29" fillId="10" borderId="1" applyAlignment="1" pivotButton="0" quotePrefix="0" xfId="0">
      <alignment horizontal="center" vertical="top" wrapText="1"/>
    </xf>
    <xf numFmtId="0" fontId="29" fillId="10" borderId="1" applyAlignment="1" pivotButton="0" quotePrefix="0" xfId="0">
      <alignment vertical="top" wrapText="1"/>
    </xf>
    <xf numFmtId="0" fontId="30" fillId="4" borderId="1" applyAlignment="1" pivotButton="0" quotePrefix="0" xfId="0">
      <alignment horizontal="center" vertical="top" wrapText="1"/>
    </xf>
    <xf numFmtId="0" fontId="31" fillId="14" borderId="1" applyAlignment="1" pivotButton="0" quotePrefix="0" xfId="0">
      <alignment horizontal="center" vertical="top" wrapText="1"/>
    </xf>
    <xf numFmtId="0" fontId="31" fillId="14" borderId="1" applyAlignment="1" pivotButton="0" quotePrefix="0" xfId="0">
      <alignment vertical="top" wrapText="1"/>
    </xf>
    <xf numFmtId="0" fontId="32" fillId="6" borderId="1" applyAlignment="1" pivotButton="0" quotePrefix="0" xfId="0">
      <alignment horizontal="center" vertical="top" wrapText="1"/>
    </xf>
    <xf numFmtId="0" fontId="32" fillId="6" borderId="1" applyAlignment="1" pivotButton="0" quotePrefix="0" xfId="0">
      <alignment vertical="top" wrapText="1"/>
    </xf>
    <xf numFmtId="0" fontId="33" fillId="20" borderId="1" applyAlignment="1" pivotButton="0" quotePrefix="0" xfId="0">
      <alignment horizontal="center" vertical="top" wrapText="1"/>
    </xf>
    <xf numFmtId="0" fontId="33" fillId="20" borderId="1" applyAlignment="1" pivotButton="0" quotePrefix="0" xfId="0">
      <alignment vertical="top" wrapText="1"/>
    </xf>
    <xf numFmtId="0" fontId="35" fillId="0" borderId="0" pivotButton="0" quotePrefix="0" xfId="0"/>
    <xf numFmtId="0" fontId="36" fillId="0" borderId="0" pivotButton="0" quotePrefix="0" xfId="0"/>
    <xf numFmtId="0" fontId="37" fillId="0" borderId="0" pivotButton="0" quotePrefix="0" xfId="0"/>
    <xf numFmtId="0" fontId="38" fillId="0" borderId="0" pivotButton="0" quotePrefix="0" xfId="0"/>
    <xf numFmtId="0" fontId="30" fillId="4" borderId="0" pivotButton="0" quotePrefix="0" xfId="0"/>
    <xf numFmtId="0" fontId="21" fillId="7" borderId="0" pivotButton="0" quotePrefix="0" xfId="0"/>
    <xf numFmtId="0" fontId="26" fillId="18" borderId="0" pivotButton="0" quotePrefix="0" xfId="0"/>
    <xf numFmtId="0" fontId="23" fillId="6" borderId="0" pivotButton="0" quotePrefix="0" xfId="0"/>
    <xf numFmtId="0" fontId="25" fillId="10" borderId="0" pivotButton="0" quotePrefix="0" xfId="0"/>
    <xf numFmtId="0" fontId="39" fillId="13" borderId="0" pivotButton="0" quotePrefix="0" xfId="0"/>
    <xf numFmtId="0" fontId="22" fillId="5" borderId="0" pivotButton="0" quotePrefix="0" xfId="0"/>
    <xf numFmtId="0" fontId="26" fillId="11" borderId="0" pivotButton="0" quotePrefix="0" xfId="0"/>
    <xf numFmtId="0" fontId="40" fillId="21" borderId="0" applyAlignment="1" pivotButton="0" quotePrefix="0" xfId="0">
      <alignment vertical="center" wrapText="1"/>
    </xf>
    <xf numFmtId="0" fontId="0" fillId="0" borderId="0" applyAlignment="1" pivotButton="0" quotePrefix="0" xfId="0">
      <alignment vertical="top" wrapText="1"/>
    </xf>
    <xf numFmtId="0" fontId="40" fillId="22" borderId="0" applyAlignment="1" pivotButton="0" quotePrefix="0" xfId="0">
      <alignment vertical="center" wrapText="1"/>
    </xf>
    <xf numFmtId="0" fontId="41" fillId="0" borderId="0" applyAlignment="1" pivotButton="0" quotePrefix="0" xfId="0">
      <alignment vertical="top" wrapText="1"/>
    </xf>
    <xf numFmtId="0" fontId="42" fillId="0" borderId="0" applyAlignment="1" pivotButton="0" quotePrefix="0" xfId="0">
      <alignment vertical="top" wrapText="1"/>
    </xf>
    <xf numFmtId="0" fontId="43" fillId="0" borderId="0" applyAlignment="1" pivotButton="0" quotePrefix="0" xfId="0">
      <alignment vertical="top" wrapText="1"/>
    </xf>
    <xf numFmtId="0" fontId="44" fillId="0" borderId="0" applyAlignment="1" pivotButton="0" quotePrefix="0" xfId="0">
      <alignment vertical="top" wrapText="1"/>
    </xf>
    <xf numFmtId="0" fontId="45" fillId="0" borderId="0" applyAlignment="1" pivotButton="0" quotePrefix="0" xfId="0">
      <alignment vertical="top" wrapText="1"/>
    </xf>
    <xf numFmtId="0" fontId="40" fillId="23" borderId="0" applyAlignment="1" pivotButton="0" quotePrefix="0" xfId="0">
      <alignment vertical="center" wrapText="1"/>
    </xf>
    <xf numFmtId="0" fontId="40" fillId="24" borderId="0"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E6CC"/>
      <rgbColor rgb="FFFF00FF"/>
      <rgbColor rgb="FF00FFFF"/>
      <rgbColor rgb="FF9C0006"/>
      <rgbColor rgb="FF276221"/>
      <rgbColor rgb="FF000080"/>
      <rgbColor rgb="FF9C5700"/>
      <rgbColor rgb="FF800080"/>
      <rgbColor rgb="FF1B4F72"/>
      <rgbColor rgb="FFCCCCCC"/>
      <rgbColor rgb="FF808080"/>
      <rgbColor rgb="FFD5E8D4"/>
      <rgbColor rgb="FF784212"/>
      <rgbColor rgb="FFFFF2CC"/>
      <rgbColor rgb="FFDDEBF7"/>
      <rgbColor rgb="FF4A235A"/>
      <rgbColor rgb="FFEDEDED"/>
      <rgbColor rgb="FF1F4E79"/>
      <rgbColor rgb="FFE1D5E7"/>
      <rgbColor rgb="FF000080"/>
      <rgbColor rgb="FFFF00FF"/>
      <rgbColor rgb="FFE2EFDA"/>
      <rgbColor rgb="FF00FFFF"/>
      <rgbColor rgb="FF800080"/>
      <rgbColor rgb="FF641E16"/>
      <rgbColor rgb="FF375623"/>
      <rgbColor rgb="FF0000FF"/>
      <rgbColor rgb="FF00CCFF"/>
      <rgbColor rgb="FFDAE8FC"/>
      <rgbColor rgb="FFC6EFCE"/>
      <rgbColor rgb="FFFFEB9C"/>
      <rgbColor rgb="FFD6E4F0"/>
      <rgbColor rgb="FFFFC7CE"/>
      <rgbColor rgb="FFF8CECC"/>
      <rgbColor rgb="FFFFCCCC"/>
      <rgbColor rgb="FF3366FF"/>
      <rgbColor rgb="FF33CCCC"/>
      <rgbColor rgb="FFF2F2F2"/>
      <rgbColor rgb="FFFCE4D6"/>
      <rgbColor rgb="FFF5F5F5"/>
      <rgbColor rgb="FFFF6600"/>
      <rgbColor rgb="FF595959"/>
      <rgbColor rgb="FFEDE7F6"/>
      <rgbColor rgb="FF154360"/>
      <rgbColor rgb="FF339966"/>
      <rgbColor rgb="FF1E5631"/>
      <rgbColor rgb="FF424242"/>
      <rgbColor rgb="FF833C00"/>
      <rgbColor rgb="FF7D4E00"/>
      <rgbColor rgb="FF1F3864"/>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6"/>
  <sheetViews>
    <sheetView workbookViewId="0">
      <selection activeCell="A1" sqref="A1"/>
    </sheetView>
  </sheetViews>
  <sheetFormatPr baseColWidth="8" defaultRowHeight="15"/>
  <cols>
    <col width="110" customWidth="1" min="1" max="1"/>
  </cols>
  <sheetData>
    <row r="1">
      <c r="A1" s="72" t="inlineStr">
        <is>
          <t>Loyalty 2.0 — Requirements &amp; Use Case Workbook</t>
        </is>
      </c>
    </row>
    <row r="2">
      <c r="A2" s="73" t="inlineStr">
        <is>
          <t>Owner: Mitchell Sotto · Last updated by automation: see Save date</t>
        </is>
      </c>
    </row>
    <row r="3">
      <c r="A3" s="74" t="inlineStr"/>
    </row>
    <row r="4">
      <c r="A4" s="75" t="inlineStr">
        <is>
          <t>Hierarchy</t>
        </is>
      </c>
    </row>
    <row r="5">
      <c r="A5" s="74" t="inlineStr">
        <is>
          <t>Workstream → Epic → Use Case (Story) → Acceptance Criteria → [Test Case]</t>
        </is>
      </c>
    </row>
    <row r="6">
      <c r="A6" s="74" t="inlineStr">
        <is>
          <t>• Workstream  (≈20)  — engineering domain / team that owns delivery.</t>
        </is>
      </c>
    </row>
    <row r="7">
      <c r="A7" s="74" t="inlineStr">
        <is>
          <t>• Epic        (≈60)  — a coherent capability inside a workstream.</t>
        </is>
      </c>
    </row>
    <row r="8">
      <c r="A8" s="74" t="inlineStr">
        <is>
          <t>• Use Case    (≈240) — a behavioral scenario you can demo.</t>
        </is>
      </c>
    </row>
    <row r="9">
      <c r="A9" s="74" t="inlineStr">
        <is>
          <t>• AC          (3-8 per UC) — Given/When/Then statements, testable.</t>
        </is>
      </c>
    </row>
    <row r="10">
      <c r="A10" s="74" t="inlineStr">
        <is>
          <t>• Test Case   — lives in your test tool (Veras, eComm test suite, Jira XRay, etc.).</t>
        </is>
      </c>
    </row>
    <row r="11">
      <c r="A11" s="74" t="inlineStr"/>
    </row>
    <row r="12">
      <c r="A12" s="75" t="inlineStr">
        <is>
          <t>Tabs</t>
        </is>
      </c>
    </row>
    <row r="13">
      <c r="A13" s="74" t="inlineStr">
        <is>
          <t>• Use Cases               — 108 original behavioral scenarios.</t>
        </is>
      </c>
    </row>
    <row r="14">
      <c r="A14" s="74" t="inlineStr">
        <is>
          <t>• Gap &amp; Edge Cases        — 132 additional scenarios surfaced during analysis.</t>
        </is>
      </c>
    </row>
    <row r="15">
      <c r="A15" s="74" t="inlineStr">
        <is>
          <t>• Summary                 — auto-counts use cases by category / launch / permission / status.</t>
        </is>
      </c>
    </row>
    <row r="16">
      <c r="A16" s="74" t="inlineStr">
        <is>
          <t>• Requirements Map        — every requirement (233) with the use cases that cover it.</t>
        </is>
      </c>
    </row>
    <row r="17">
      <c r="A17" s="74" t="inlineStr">
        <is>
          <t>• Unaddressed Requirements — requirements with no use case coverage + open questions.</t>
        </is>
      </c>
    </row>
    <row r="18">
      <c r="A18" s="74" t="inlineStr">
        <is>
          <t>• Epics                   — the ~60 epics, each rolling up its child use cases.</t>
        </is>
      </c>
    </row>
    <row r="19">
      <c r="A19" s="74" t="inlineStr">
        <is>
          <t>• Decision Log            — every open question with owner + due date + decision once resolved.</t>
        </is>
      </c>
    </row>
    <row r="20">
      <c r="A20" s="74" t="inlineStr">
        <is>
          <t>• Instructions            — this tab.</t>
        </is>
      </c>
    </row>
    <row r="21">
      <c r="A21" s="74" t="inlineStr"/>
    </row>
    <row r="22">
      <c r="A22" s="75" t="inlineStr">
        <is>
          <t>Operating Rules</t>
        </is>
      </c>
    </row>
    <row r="23">
      <c r="A23" s="74" t="inlineStr">
        <is>
          <t>1. No conversation ends without unresolved items going into the Decision Log.</t>
        </is>
      </c>
    </row>
    <row r="24">
      <c r="A24" s="74" t="inlineStr">
        <is>
          <t xml:space="preserve">   If it's not in the log, it doesn't exist.</t>
        </is>
      </c>
    </row>
    <row r="25">
      <c r="A25" s="74" t="inlineStr">
        <is>
          <t>2. Edge cases captured at the AC level (a new AC row), not as a new use case,</t>
        </is>
      </c>
    </row>
    <row r="26">
      <c r="A26" s="74" t="inlineStr">
        <is>
          <t xml:space="preserve">   unless a different actor or different outcome is involved.</t>
        </is>
      </c>
    </row>
    <row r="27">
      <c r="A27" s="74" t="inlineStr">
        <is>
          <t>3. Definition of Ready (DoR) for a use case to enter a sprint:</t>
        </is>
      </c>
    </row>
    <row r="28">
      <c r="A28" s="74" t="inlineStr">
        <is>
          <t xml:space="preserve">   • At least 2 acceptance criteria written, and</t>
        </is>
      </c>
    </row>
    <row r="29">
      <c r="A29" s="74" t="inlineStr">
        <is>
          <t xml:space="preserve">   • Zero open Decision Log items linked to this UC, and</t>
        </is>
      </c>
    </row>
    <row r="30">
      <c r="A30" s="74" t="inlineStr">
        <is>
          <t xml:space="preserve">   • Source Requirement(s) populated.</t>
        </is>
      </c>
    </row>
    <row r="31">
      <c r="A31" s="74" t="inlineStr">
        <is>
          <t>4. Weekly Decision Log review (30 min). Walk every open row. Decide,</t>
        </is>
      </c>
    </row>
    <row r="32">
      <c r="A32" s="74" t="inlineStr">
        <is>
          <t xml:space="preserve">   reassign owner+date, or escalate. This single meeting prevents 90% of</t>
        </is>
      </c>
    </row>
    <row r="33">
      <c r="A33" s="74" t="inlineStr">
        <is>
          <t xml:space="preserve">   'wait, what did we decide?' moments.</t>
        </is>
      </c>
    </row>
    <row r="34">
      <c r="A34" s="74" t="inlineStr"/>
    </row>
    <row r="35">
      <c r="A35" s="75" t="inlineStr">
        <is>
          <t>Cadence (suggested)</t>
        </is>
      </c>
    </row>
    <row r="36">
      <c r="A36" s="74" t="inlineStr">
        <is>
          <t>Weekly  · Decision Log review (30 min)</t>
        </is>
      </c>
    </row>
    <row r="37">
      <c r="A37" s="74" t="inlineStr">
        <is>
          <t>Weekly  · Backlog grooming — move stories from 'Not Started' to 'In Progress' once DoR met</t>
        </is>
      </c>
    </row>
    <row r="38">
      <c r="A38" s="74" t="inlineStr">
        <is>
          <t>Bi-weekly · Workstream sync — each WS owner reports status by epic</t>
        </is>
      </c>
    </row>
    <row r="39">
      <c r="A39" s="74" t="inlineStr">
        <is>
          <t>Monthly · Coverage audit — re-run Requirements Map to confirm no new unaddressed reqs</t>
        </is>
      </c>
    </row>
    <row r="40">
      <c r="A40" s="74" t="inlineStr"/>
    </row>
    <row r="41">
      <c r="A41" s="75" t="inlineStr">
        <is>
          <t>How to add a new use case</t>
        </is>
      </c>
    </row>
    <row r="42">
      <c r="A42" s="74" t="inlineStr">
        <is>
          <t>1. Decide which Epic it belongs to (consult the Epics tab).</t>
        </is>
      </c>
    </row>
    <row r="43">
      <c r="A43" s="74" t="inlineStr">
        <is>
          <t>2. Append a row to the right sheet (Use Cases or Gap &amp; Edge Cases).</t>
        </is>
      </c>
    </row>
    <row r="44">
      <c r="A44" s="74" t="inlineStr">
        <is>
          <t>3. Use the next available ID (highest existing ID + 1).</t>
        </is>
      </c>
    </row>
    <row r="45">
      <c r="A45" s="74" t="inlineStr">
        <is>
          <t>4. Fill in Workstream, Epic, Category, Use Case (title), Description.</t>
        </is>
      </c>
    </row>
    <row r="46">
      <c r="A46" s="74" t="inlineStr">
        <is>
          <t>5. Populate Source Requirement(s) — at least one ID from the docx requirements.</t>
        </is>
      </c>
    </row>
    <row r="47">
      <c r="A47" s="74" t="inlineStr">
        <is>
          <t>6. Write at least 2 Acceptance Criteria in Given/When/Then form.</t>
        </is>
      </c>
    </row>
    <row r="48">
      <c r="A48" s="74" t="inlineStr">
        <is>
          <t>7. If any unresolved decisions surface — log them in Decision Log.</t>
        </is>
      </c>
    </row>
    <row r="49">
      <c r="A49" s="74" t="inlineStr"/>
    </row>
    <row r="50">
      <c r="A50" s="75" t="inlineStr">
        <is>
          <t>Status values (use consistently)</t>
        </is>
      </c>
    </row>
    <row r="51">
      <c r="A51" s="74" t="inlineStr">
        <is>
          <t>Not Started · In Progress · Blocked · Ready for Dev · In Dev · In Test · Done</t>
        </is>
      </c>
    </row>
    <row r="52">
      <c r="A52" s="74" t="inlineStr"/>
    </row>
    <row r="53">
      <c r="A53" s="75" t="inlineStr">
        <is>
          <t>Acceptance Criteria pattern</t>
        </is>
      </c>
    </row>
    <row r="54">
      <c r="A54" s="76" t="inlineStr">
        <is>
          <t>AC-N: GIVEN &lt;preconditions&gt;</t>
        </is>
      </c>
    </row>
    <row r="55">
      <c r="A55" s="76" t="inlineStr">
        <is>
          <t xml:space="preserve">       WHEN  &lt;trigger / action&gt;</t>
        </is>
      </c>
    </row>
    <row r="56">
      <c r="A56" s="76" t="inlineStr">
        <is>
          <t xml:space="preserve">       THEN  &lt;observable outcome&gt;</t>
        </is>
      </c>
    </row>
    <row r="57">
      <c r="A57" s="76" t="inlineStr">
        <is>
          <t xml:space="preserve">       AND   &lt;additional observable, optional&gt;</t>
        </is>
      </c>
    </row>
    <row r="58">
      <c r="A58" s="74" t="inlineStr">
        <is>
          <t>Each AC is one testable assertion. If you need 'OR' branches, that's two ACs.</t>
        </is>
      </c>
    </row>
    <row r="59">
      <c r="A59" s="74" t="inlineStr"/>
    </row>
    <row r="60">
      <c r="A60" s="75" t="inlineStr">
        <is>
          <t>When to migrate off Excel</t>
        </is>
      </c>
    </row>
    <row r="61">
      <c r="A61" s="74" t="inlineStr">
        <is>
          <t>Watch for these pain points and migrate the *structure* to a proper tool:</t>
        </is>
      </c>
    </row>
    <row r="62">
      <c r="A62" s="74" t="inlineStr">
        <is>
          <t>• 3+ people editing simultaneously</t>
        </is>
      </c>
    </row>
    <row r="63">
      <c r="A63" s="74" t="inlineStr">
        <is>
          <t>• You need notifications / workflow (assign → review → done)</t>
        </is>
      </c>
    </row>
    <row r="64">
      <c r="A64" s="74" t="inlineStr">
        <is>
          <t>• You need traceability links that survive copy-paste</t>
        </is>
      </c>
    </row>
    <row r="65">
      <c r="A65" s="74" t="inlineStr">
        <is>
          <t>Candidates: Jira + Confluence (heaviest, best engineering handoff), Linear,</t>
        </is>
      </c>
    </row>
    <row r="66">
      <c r="A66" s="74" t="inlineStr">
        <is>
          <t>Azure DevOps, Notion (most flexible).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11" customWidth="1" min="3" max="3"/>
    <col width="24" customWidth="1" min="4" max="4"/>
    <col width="50" customWidth="1" min="5" max="5"/>
    <col width="70" customWidth="1" min="6" max="6"/>
    <col width="24" customWidth="1" min="7" max="7"/>
    <col width="60" customWidth="1" min="8" max="8"/>
    <col width="36" customWidth="1" min="9" max="9"/>
    <col width="14" customWidth="1" min="10" max="10"/>
    <col width="16" customWidth="1" min="11" max="11"/>
    <col width="14" customWidth="1" min="12" max="12"/>
    <col width="10" customWidth="1" min="13" max="13"/>
    <col width="14" customWidth="1" min="14" max="14"/>
    <col width="10" customWidth="1" min="15" max="15"/>
  </cols>
  <sheetData>
    <row r="1">
      <c r="A1" s="69" t="inlineStr">
        <is>
          <t>ID</t>
        </is>
      </c>
      <c r="B1" s="69" t="inlineStr">
        <is>
          <t>Workstream</t>
        </is>
      </c>
      <c r="C1" s="69" t="inlineStr">
        <is>
          <t>Epic</t>
        </is>
      </c>
      <c r="D1" s="69" t="inlineStr">
        <is>
          <t>Category</t>
        </is>
      </c>
      <c r="E1" s="69" t="inlineStr">
        <is>
          <t>Use Case</t>
        </is>
      </c>
      <c r="F1" s="69" t="inlineStr">
        <is>
          <t>Description</t>
        </is>
      </c>
      <c r="G1" s="69" t="inlineStr">
        <is>
          <t>Source Requirement(s)</t>
        </is>
      </c>
      <c r="H1" s="69" t="inlineStr">
        <is>
          <t>Acceptance Criteria</t>
        </is>
      </c>
      <c r="I1" s="69" t="inlineStr">
        <is>
          <t>Notes / Open Questions</t>
        </is>
      </c>
      <c r="J1" s="69" t="inlineStr">
        <is>
          <t>Launch Timing</t>
        </is>
      </c>
      <c r="K1" s="69" t="inlineStr">
        <is>
          <t>Permission Model</t>
        </is>
      </c>
      <c r="L1" s="69" t="inlineStr">
        <is>
          <t>Checkout Critical Path?</t>
        </is>
      </c>
      <c r="M1" s="69" t="inlineStr">
        <is>
          <t>Priority</t>
        </is>
      </c>
      <c r="N1" s="69" t="inlineStr">
        <is>
          <t>Status</t>
        </is>
      </c>
      <c r="O1" s="69" t="inlineStr">
        <is>
          <t>Sprint</t>
        </is>
      </c>
    </row>
    <row r="2">
      <c r="A2" s="70" t="n">
        <v>1</v>
      </c>
      <c r="B2" s="70" t="inlineStr">
        <is>
          <t>WS2 — WS 2: Financial Awards &amp; Rewards</t>
        </is>
      </c>
      <c r="C2" s="70" t="inlineStr">
        <is>
          <t>E-WS2.1</t>
        </is>
      </c>
      <c r="D2" s="70" t="inlineStr">
        <is>
          <t>Earning / Tier Qualification</t>
        </is>
      </c>
      <c r="E2" s="70" t="inlineStr">
        <is>
          <t>Qualifying purchase — Amp award</t>
        </is>
      </c>
      <c r="F2" s="70" t="inlineStr">
        <is>
          <t>A Pro member completes a qualifying purchase at POS. Rule engine evaluates the transaction and emits an AMP_AWARD event to POS.</t>
        </is>
      </c>
      <c r="G2" s="70" t="inlineStr">
        <is>
          <t>E-GC-1, E-OA-1, E-GC-2</t>
        </is>
      </c>
      <c r="H2" s="70" t="inlineStr">
        <is>
          <t>AC: [Author TBD] Write Given/When/Then for happy path + edge cases.
    - Happy path: …
    - Edge case 1: …
    - Edge case 2: …
Definition of Ready: at least 2 ACs written and 0 unresolved Decision Log items.</t>
        </is>
      </c>
      <c r="I2" s="70" t="inlineStr">
        <is>
          <t>Amps balance owned by POS. We emit the event only.</t>
        </is>
      </c>
      <c r="J2" s="70" t="inlineStr">
        <is>
          <t>Beta</t>
        </is>
      </c>
      <c r="K2" s="70" t="inlineStr">
        <is>
          <t>System</t>
        </is>
      </c>
      <c r="L2" s="70" t="inlineStr">
        <is>
          <t>No</t>
        </is>
      </c>
      <c r="M2" s="70" t="n"/>
      <c r="N2" s="70" t="inlineStr">
        <is>
          <t>Not Started</t>
        </is>
      </c>
      <c r="O2" s="70" t="n"/>
    </row>
    <row r="3">
      <c r="A3" s="70" t="n">
        <v>2</v>
      </c>
      <c r="B3" s="70" t="inlineStr">
        <is>
          <t>WS1 — WS 1: Core Loyalty Engine — Member, Tier &amp; Ledger</t>
        </is>
      </c>
      <c r="C3" s="70" t="inlineStr">
        <is>
          <t>E-WS1.2</t>
        </is>
      </c>
      <c r="D3" s="70" t="inlineStr">
        <is>
          <t>Earning / Tier Qualification</t>
        </is>
      </c>
      <c r="E3" s="70" t="inlineStr">
        <is>
          <t>Spend threshold crossed — tier upgrade</t>
        </is>
      </c>
      <c r="F3" s="70" t="inlineStr">
        <is>
          <t>A Pro member's rolling 12-month qualifying spend crosses the Pro tier threshold. Tier upgrades, FREE_SAMPLES and FREE_SHIPPING benefits are issued.</t>
        </is>
      </c>
      <c r="G3" s="70" t="inlineStr">
        <is>
          <t>J-GC-2, E-GC-4, M-CR-5</t>
        </is>
      </c>
      <c r="H3" s="70" t="inlineStr">
        <is>
          <t>AC: [Author TBD] Write Given/When/Then for happy path + edge cases.
    - Happy path: …
    - Edge case 1: …
    - Edge case 2: …
Definition of Ready: at least 2 ACs written and 0 unresolved Decision Log items.</t>
        </is>
      </c>
      <c r="I3" s="70" t="inlineStr">
        <is>
          <t>Triggers TIER_CHANGED + BENEFIT_ISSUED events in the consumption log.</t>
        </is>
      </c>
      <c r="J3" s="70" t="inlineStr">
        <is>
          <t>Beta</t>
        </is>
      </c>
      <c r="K3" s="70" t="inlineStr">
        <is>
          <t>System</t>
        </is>
      </c>
      <c r="L3" s="70" t="inlineStr">
        <is>
          <t>No</t>
        </is>
      </c>
      <c r="M3" s="70" t="n"/>
      <c r="N3" s="70" t="inlineStr">
        <is>
          <t>Not Started</t>
        </is>
      </c>
      <c r="O3" s="70" t="n"/>
    </row>
    <row r="4">
      <c r="A4" s="70" t="n">
        <v>3</v>
      </c>
      <c r="B4" s="70" t="inlineStr">
        <is>
          <t>WS1 — WS 1: Core Loyalty Engine — Member, Tier &amp; Ledger</t>
        </is>
      </c>
      <c r="C4" s="70" t="inlineStr">
        <is>
          <t>E-WS1.3</t>
        </is>
      </c>
      <c r="D4" s="70" t="inlineStr">
        <is>
          <t>Earning / Tier Qualification</t>
        </is>
      </c>
      <c r="E4" s="70" t="inlineStr">
        <is>
          <t>Spend drops below threshold — tier downgrade</t>
        </is>
      </c>
      <c r="F4" s="70" t="inlineStr">
        <is>
          <t>A Pro member's rolling spend falls below the Pro tier threshold. Tier downgrades to Base; standing benefits (free shipping) expire.</t>
        </is>
      </c>
      <c r="G4" s="70" t="inlineStr">
        <is>
          <t>J-GC-6, J-CR-7</t>
        </is>
      </c>
      <c r="H4" s="70" t="inlineStr">
        <is>
          <t>AC: [Author TBD] Write Given/When/Then for happy path + edge cases.
    - Happy path: …
    - Edge case 1: …
    - Edge case 2: …
Definition of Ready: at least 2 ACs written and 0 unresolved Decision Log items.</t>
        </is>
      </c>
      <c r="I4" s="70" t="inlineStr">
        <is>
          <t>Grace period policy TBD — see Draft Decisions.</t>
        </is>
      </c>
      <c r="J4" s="70" t="inlineStr">
        <is>
          <t>Full Launch</t>
        </is>
      </c>
      <c r="K4" s="70" t="inlineStr">
        <is>
          <t>System</t>
        </is>
      </c>
      <c r="L4" s="70" t="inlineStr">
        <is>
          <t>No</t>
        </is>
      </c>
      <c r="M4" s="70" t="n"/>
      <c r="N4" s="70" t="inlineStr">
        <is>
          <t>Not Started</t>
        </is>
      </c>
      <c r="O4" s="70" t="n"/>
    </row>
    <row r="5">
      <c r="A5" s="70" t="n">
        <v>4</v>
      </c>
      <c r="B5" s="70" t="inlineStr">
        <is>
          <t>WS3 — WS 3: Transaction &amp; Spend Ingestion</t>
        </is>
      </c>
      <c r="C5" s="70" t="inlineStr">
        <is>
          <t>E-WS3.4</t>
        </is>
      </c>
      <c r="D5" s="70" t="inlineStr">
        <is>
          <t>Earning / Tier Qualification</t>
        </is>
      </c>
      <c r="E5" s="70" t="inlineStr">
        <is>
          <t>Purchase returned — Amp award reversed</t>
        </is>
      </c>
      <c r="F5" s="70" t="inlineStr">
        <is>
          <t>A customer returns a purchase that previously triggered an Amp award. Rule engine emits a TRANSACTION_REVERSED event; POS reverses the Amp credit.</t>
        </is>
      </c>
      <c r="G5" s="70" t="inlineStr">
        <is>
          <t>M-GC-2, E-CR-5, SO-WF-9, M-CR-3</t>
        </is>
      </c>
      <c r="H5" s="70" t="inlineStr">
        <is>
          <t>AC: [Author TBD] Write Given/When/Then for happy path + edge cases.
    - Happy path: …
    - Edge case 1: …
    - Edge case 2: …
Definition of Ready: at least 2 ACs written and 0 unresolved Decision Log items.</t>
        </is>
      </c>
      <c r="I5" s="70" t="n"/>
      <c r="J5" s="70" t="inlineStr">
        <is>
          <t>Beta</t>
        </is>
      </c>
      <c r="K5" s="70" t="inlineStr">
        <is>
          <t>System</t>
        </is>
      </c>
      <c r="L5" s="70" t="inlineStr">
        <is>
          <t>No</t>
        </is>
      </c>
      <c r="M5" s="70" t="n"/>
      <c r="N5" s="70" t="inlineStr">
        <is>
          <t>Not Started</t>
        </is>
      </c>
      <c r="O5" s="70" t="n"/>
    </row>
    <row r="6">
      <c r="A6" s="70" t="n">
        <v>5</v>
      </c>
      <c r="B6" s="70" t="inlineStr">
        <is>
          <t>WS3 — WS 3: Transaction &amp; Spend Ingestion</t>
        </is>
      </c>
      <c r="C6" s="70" t="inlineStr">
        <is>
          <t>E-WS3.3</t>
        </is>
      </c>
      <c r="D6" s="70" t="inlineStr">
        <is>
          <t>Earning / Tier Qualification</t>
        </is>
      </c>
      <c r="E6" s="70" t="inlineStr">
        <is>
          <t>Misattributed transaction corrected</t>
        </is>
      </c>
      <c r="F6" s="70" t="inlineStr">
        <is>
          <t>A POS transaction is attributed to the wrong account. An operator corrects the attribution. Rule engine re-projects both affected accounts.</t>
        </is>
      </c>
      <c r="G6" s="70" t="inlineStr">
        <is>
          <t>CRM-CM-10</t>
        </is>
      </c>
      <c r="H6" s="70" t="inlineStr">
        <is>
          <t>AC: [Author TBD] Write Given/When/Then for happy path + edge cases.
    - Happy path: …
    - Edge case 1: …
    - Edge case 2: …
Definition of Ready: at least 2 ACs written and 0 unresolved Decision Log items.</t>
        </is>
      </c>
      <c r="I6" s="70" t="inlineStr">
        <is>
          <t>Attribution correction flow TBD — see Draft Decisions.</t>
        </is>
      </c>
      <c r="J6" s="70" t="inlineStr">
        <is>
          <t>Full Launch</t>
        </is>
      </c>
      <c r="K6" s="70" t="inlineStr">
        <is>
          <t>System</t>
        </is>
      </c>
      <c r="L6" s="70" t="inlineStr">
        <is>
          <t>No</t>
        </is>
      </c>
      <c r="M6" s="70" t="n"/>
      <c r="N6" s="70" t="inlineStr">
        <is>
          <t>Not Started</t>
        </is>
      </c>
      <c r="O6" s="70" t="n"/>
    </row>
    <row r="7">
      <c r="A7" s="70" t="n">
        <v>6</v>
      </c>
      <c r="B7" s="70" t="inlineStr">
        <is>
          <t>WS8 — WS 8: CRM Systems Enablement</t>
        </is>
      </c>
      <c r="C7" s="70" t="inlineStr">
        <is>
          <t>E-WS8.2</t>
        </is>
      </c>
      <c r="D7" s="70" t="inlineStr">
        <is>
          <t>Earning / Tier Qualification</t>
        </is>
      </c>
      <c r="E7" s="70" t="inlineStr">
        <is>
          <t>New customer Pro enrollment</t>
        </is>
      </c>
      <c r="F7" s="70" t="inlineStr">
        <is>
          <t>A customer enrolls in the Pro loyalty program for the first time. Account is created in CRM, ACCOUNT_ENROLLED event flows into the consumption log, rule engine initializes projection.</t>
        </is>
      </c>
      <c r="G7" s="70" t="inlineStr">
        <is>
          <t>SO-WF-1, SO-WF-2, J-GC-1, CRM-CM-8, CRM-AS-1, CRM-AS-2</t>
        </is>
      </c>
      <c r="H7" s="70" t="inlineStr">
        <is>
          <t>AC: [Author TBD] Write Given/When/Then for happy path + edge cases.
    - Happy path: …
    - Edge case 1: …
    - Edge case 2: …
Definition of Ready: at least 2 ACs written and 0 unresolved Decision Log items.</t>
        </is>
      </c>
      <c r="I7" s="70" t="n"/>
      <c r="J7" s="70" t="inlineStr">
        <is>
          <t>Beta</t>
        </is>
      </c>
      <c r="K7" s="70" t="inlineStr">
        <is>
          <t>System</t>
        </is>
      </c>
      <c r="L7" s="70" t="inlineStr">
        <is>
          <t>No</t>
        </is>
      </c>
      <c r="M7" s="70" t="n"/>
      <c r="N7" s="70" t="inlineStr">
        <is>
          <t>Not Started</t>
        </is>
      </c>
      <c r="O7" s="70" t="n"/>
    </row>
    <row r="8">
      <c r="A8" s="70" t="n">
        <v>7</v>
      </c>
      <c r="B8" s="70" t="inlineStr">
        <is>
          <t>WS14 — WS 14: PPR Transition &amp; Migration</t>
        </is>
      </c>
      <c r="C8" s="70" t="inlineStr">
        <is>
          <t>E-WS14.3</t>
        </is>
      </c>
      <c r="D8" s="70" t="inlineStr">
        <is>
          <t>Earning / Tier Qualification</t>
        </is>
      </c>
      <c r="E8" s="70" t="inlineStr">
        <is>
          <t>Historical spend imported at launch</t>
        </is>
      </c>
      <c r="F8" s="70" t="inlineStr">
        <is>
          <t>At Loyalty 2.0 launch, existing customer spend history is imported from CRM/Salesforce to seed spend aggregates and set opening tier status.</t>
        </is>
      </c>
      <c r="G8" s="70" t="inlineStr">
        <is>
          <t>PPR-AS-1, PPR-AS-2, PPR-AS-3, PPR-AS-7, CRM-CM-1</t>
        </is>
      </c>
      <c r="H8" s="70" t="inlineStr">
        <is>
          <t>AC: [Author TBD] Write Given/When/Then for happy path + edge cases.
    - Happy path: …
    - Edge case 1: …
    - Edge case 2: …
Definition of Ready: at least 2 ACs written and 0 unresolved Decision Log items.</t>
        </is>
      </c>
      <c r="I8" s="70" t="inlineStr">
        <is>
          <t>Seed aggregates directly — do not replay as backdated events. See Draft Decisions.</t>
        </is>
      </c>
      <c r="J8" s="70" t="inlineStr">
        <is>
          <t>Beta</t>
        </is>
      </c>
      <c r="K8" s="70" t="inlineStr">
        <is>
          <t>System</t>
        </is>
      </c>
      <c r="L8" s="70" t="inlineStr">
        <is>
          <t>No</t>
        </is>
      </c>
      <c r="M8" s="70" t="n"/>
      <c r="N8" s="70" t="inlineStr">
        <is>
          <t>Not Started</t>
        </is>
      </c>
      <c r="O8" s="70" t="n"/>
    </row>
    <row r="9">
      <c r="A9" s="70" t="n">
        <v>8</v>
      </c>
      <c r="B9" s="70" t="inlineStr">
        <is>
          <t>WS5 — WS 5: Offers &amp; Benefit Fulfillment (Delivery, Samples, Bid Room)</t>
        </is>
      </c>
      <c r="C9" s="70" t="inlineStr">
        <is>
          <t>E-WS5.3</t>
        </is>
      </c>
      <c r="D9" s="70" t="inlineStr">
        <is>
          <t>Benefit Issuance</t>
        </is>
      </c>
      <c r="E9" s="70" t="inlineStr">
        <is>
          <t>Monthly sample allotment resets</t>
        </is>
      </c>
      <c r="F9" s="70" t="inlineStr">
        <is>
          <t>At month boundary, rule engine issues 5 FREE_SAMPLES to every active Pro account. Prior month's unused samples are expired (RESET_ON_CYCLE policy).</t>
        </is>
      </c>
      <c r="G9" s="70" t="inlineStr">
        <is>
          <t>S-1, S-7</t>
        </is>
      </c>
      <c r="H9" s="70" t="inlineStr">
        <is>
          <t>AC: [Author TBD] Write Given/When/Then for happy path + edge cases.
    - Happy path: …
    - Edge case 1: …
    - Edge case 2: …
Definition of Ready: at least 2 ACs written and 0 unresolved Decision Log items.</t>
        </is>
      </c>
      <c r="I9" s="70" t="n"/>
      <c r="J9" s="70" t="inlineStr">
        <is>
          <t>Full Launch</t>
        </is>
      </c>
      <c r="K9" s="70" t="inlineStr">
        <is>
          <t>System</t>
        </is>
      </c>
      <c r="L9" s="70" t="inlineStr">
        <is>
          <t>No</t>
        </is>
      </c>
      <c r="M9" s="70" t="n"/>
      <c r="N9" s="70" t="inlineStr">
        <is>
          <t>Not Started</t>
        </is>
      </c>
      <c r="O9" s="70" t="n"/>
    </row>
    <row r="10">
      <c r="A10" s="70" t="n">
        <v>9</v>
      </c>
      <c r="B10" s="70" t="inlineStr">
        <is>
          <t>WS4 — WS 4: Program Configuration &amp; Business Rules</t>
        </is>
      </c>
      <c r="C10" s="70" t="inlineStr">
        <is>
          <t>E-WS4.1</t>
        </is>
      </c>
      <c r="D10" s="70" t="inlineStr">
        <is>
          <t>Benefit Issuance</t>
        </is>
      </c>
      <c r="E10" s="70" t="inlineStr">
        <is>
          <t>Rule change — sample allotment increased</t>
        </is>
      </c>
      <c r="F10" s="70" t="inlineStr">
        <is>
          <t>Marketing updates the monthly free sample rule from 5 to 7. Rule engine re-projects all affected accounts; existing consumption history is honored.</t>
        </is>
      </c>
      <c r="G10" s="70" t="inlineStr">
        <is>
          <t>S-2</t>
        </is>
      </c>
      <c r="H10" s="70" t="inlineStr">
        <is>
          <t>AC: [Author TBD] Write Given/When/Then for happy path + edge cases.
    - Happy path: …
    - Edge case 1: …
    - Edge case 2: …
Definition of Ready: at least 2 ACs written and 0 unresolved Decision Log items.</t>
        </is>
      </c>
      <c r="I10" s="70" t="inlineStr">
        <is>
          <t>Requires rule versioning with effective_from date.</t>
        </is>
      </c>
      <c r="J10" s="70" t="inlineStr">
        <is>
          <t>Full Launch</t>
        </is>
      </c>
      <c r="K10" s="70" t="inlineStr">
        <is>
          <t>System</t>
        </is>
      </c>
      <c r="L10" s="70" t="inlineStr">
        <is>
          <t>No</t>
        </is>
      </c>
      <c r="M10" s="70" t="n"/>
      <c r="N10" s="70" t="inlineStr">
        <is>
          <t>Not Started</t>
        </is>
      </c>
      <c r="O10" s="70" t="n"/>
    </row>
    <row r="11">
      <c r="A11" s="70" t="n">
        <v>10</v>
      </c>
      <c r="B11" s="70" t="inlineStr">
        <is>
          <t>WS4 — WS 4: Program Configuration &amp; Business Rules</t>
        </is>
      </c>
      <c r="C11" s="70" t="inlineStr">
        <is>
          <t>E-WS4.2</t>
        </is>
      </c>
      <c r="D11" s="70" t="inlineStr">
        <is>
          <t>Benefit Issuance</t>
        </is>
      </c>
      <c r="E11" s="70" t="inlineStr">
        <is>
          <t>Operator manually issues a benefit</t>
        </is>
      </c>
      <c r="F11" s="70" t="inlineStr">
        <is>
          <t>A customer service operator manually issues a benefit to a customer (e.g. service recovery). Issuance is logged with operator identity.</t>
        </is>
      </c>
      <c r="G11" s="70" t="inlineStr">
        <is>
          <t>R-GC-6</t>
        </is>
      </c>
      <c r="H11" s="70" t="inlineStr">
        <is>
          <t>AC: [Author TBD] Write Given/When/Then for happy path + edge cases.
    - Happy path: …
    - Edge case 1: …
    - Edge case 2: …
Definition of Ready: at least 2 ACs written and 0 unresolved Decision Log items.</t>
        </is>
      </c>
      <c r="I11" s="70" t="inlineStr">
        <is>
          <t>Bypasses rule engine. Admin endpoint on loyalty-benefits.</t>
        </is>
      </c>
      <c r="J11" s="70" t="inlineStr">
        <is>
          <t>Beta</t>
        </is>
      </c>
      <c r="K11" s="70" t="inlineStr">
        <is>
          <t>System</t>
        </is>
      </c>
      <c r="L11" s="70" t="inlineStr">
        <is>
          <t>No</t>
        </is>
      </c>
      <c r="M11" s="70" t="n"/>
      <c r="N11" s="70" t="inlineStr">
        <is>
          <t>Not Started</t>
        </is>
      </c>
      <c r="O11" s="70" t="n"/>
    </row>
    <row r="12">
      <c r="A12" s="70" t="n">
        <v>11</v>
      </c>
      <c r="B12" s="70" t="inlineStr">
        <is>
          <t>WS1 — WS 1: Core Loyalty Engine — Member, Tier &amp; Ledger</t>
        </is>
      </c>
      <c r="C12" s="70" t="inlineStr">
        <is>
          <t>E-WS1.3</t>
        </is>
      </c>
      <c r="D12" s="70" t="inlineStr">
        <is>
          <t>Benefit Issuance</t>
        </is>
      </c>
      <c r="E12" s="70" t="inlineStr">
        <is>
          <t>Tier upgrade triggers standing benefit</t>
        </is>
      </c>
      <c r="F12" s="70" t="inlineStr">
        <is>
          <t>A tier upgrade to Pro automatically issues a FREE_SHIPPING standing benefit tied to active membership status.</t>
        </is>
      </c>
      <c r="G12" s="70" t="inlineStr">
        <is>
          <t>J-GC-4, J-GC-5</t>
        </is>
      </c>
      <c r="H12" s="70" t="inlineStr">
        <is>
          <t>AC: [Author TBD] Write Given/When/Then for happy path + edge cases.
    - Happy path: …
    - Edge case 1: …
    - Edge case 2: …
Definition of Ready: at least 2 ACs written and 0 unresolved Decision Log items.</t>
        </is>
      </c>
      <c r="I12" s="70" t="n"/>
      <c r="J12" s="70" t="inlineStr">
        <is>
          <t>Beta</t>
        </is>
      </c>
      <c r="K12" s="70" t="inlineStr">
        <is>
          <t>System</t>
        </is>
      </c>
      <c r="L12" s="70" t="inlineStr">
        <is>
          <t>No</t>
        </is>
      </c>
      <c r="M12" s="70" t="n"/>
      <c r="N12" s="70" t="inlineStr">
        <is>
          <t>Not Started</t>
        </is>
      </c>
      <c r="O12" s="70" t="n"/>
    </row>
    <row r="13">
      <c r="A13" s="70" t="n">
        <v>12</v>
      </c>
      <c r="B13" s="70" t="inlineStr">
        <is>
          <t>WS1 — WS 1: Core Loyalty Engine — Member, Tier &amp; Ledger</t>
        </is>
      </c>
      <c r="C13" s="70" t="inlineStr">
        <is>
          <t>E-WS1.3</t>
        </is>
      </c>
      <c r="D13" s="70" t="inlineStr">
        <is>
          <t>Benefit Issuance</t>
        </is>
      </c>
      <c r="E13" s="70" t="inlineStr">
        <is>
          <t>Tier downgrade expires standing benefit</t>
        </is>
      </c>
      <c r="F13" s="70" t="inlineStr">
        <is>
          <t>A tier downgrade from Pro removes the FREE_SHIPPING standing benefit. Benefit transitions to EXPIRED.</t>
        </is>
      </c>
      <c r="G13" s="70" t="inlineStr">
        <is>
          <t>J-GC-6, J-CR-7</t>
        </is>
      </c>
      <c r="H13" s="70" t="inlineStr">
        <is>
          <t>AC: [Author TBD] Write Given/When/Then for happy path + edge cases.
    - Happy path: …
    - Edge case 1: …
    - Edge case 2: …
Definition of Ready: at least 2 ACs written and 0 unresolved Decision Log items.</t>
        </is>
      </c>
      <c r="I13" s="70" t="n"/>
      <c r="J13" s="70" t="inlineStr">
        <is>
          <t>Beta</t>
        </is>
      </c>
      <c r="K13" s="70" t="inlineStr">
        <is>
          <t>System</t>
        </is>
      </c>
      <c r="L13" s="70" t="inlineStr">
        <is>
          <t>No</t>
        </is>
      </c>
      <c r="M13" s="70" t="n"/>
      <c r="N13" s="70" t="inlineStr">
        <is>
          <t>Not Started</t>
        </is>
      </c>
      <c r="O13" s="70" t="n"/>
    </row>
    <row r="14">
      <c r="A14" s="70" t="n">
        <v>13</v>
      </c>
      <c r="B14" s="70" t="inlineStr">
        <is>
          <t>WS4 — WS 4: Program Configuration &amp; Business Rules</t>
        </is>
      </c>
      <c r="C14" s="70" t="inlineStr">
        <is>
          <t>E-WS4.2</t>
        </is>
      </c>
      <c r="D14" s="70" t="inlineStr">
        <is>
          <t>Benefit Issuance</t>
        </is>
      </c>
      <c r="E14" s="70" t="inlineStr">
        <is>
          <t>New benefit type added to catalog</t>
        </is>
      </c>
      <c r="F14" s="70" t="inlineStr">
        <is>
          <t>Business adds a new benefit type (e.g. FREE_COFFEE). A new row is added to the benefit catalog, a rule is configured, POS adds a handler. No schema migration required.</t>
        </is>
      </c>
      <c r="G14" s="70" t="inlineStr">
        <is>
          <t>S-2</t>
        </is>
      </c>
      <c r="H14" s="70" t="inlineStr">
        <is>
          <t>AC: [Author TBD] Write Given/When/Then for happy path + edge cases.
    - Happy path: …
    - Edge case 1: …
    - Edge case 2: …
Definition of Ready: at least 2 ACs written and 0 unresolved Decision Log items.</t>
        </is>
      </c>
      <c r="I14" s="70" t="n"/>
      <c r="J14" s="70" t="inlineStr">
        <is>
          <t>Full Launch</t>
        </is>
      </c>
      <c r="K14" s="70" t="inlineStr">
        <is>
          <t>System</t>
        </is>
      </c>
      <c r="L14" s="70" t="inlineStr">
        <is>
          <t>No</t>
        </is>
      </c>
      <c r="M14" s="70" t="n"/>
      <c r="N14" s="70" t="inlineStr">
        <is>
          <t>Not Started</t>
        </is>
      </c>
      <c r="O14" s="70" t="n"/>
    </row>
    <row r="15">
      <c r="A15" s="70" t="n">
        <v>14</v>
      </c>
      <c r="B15" s="70" t="inlineStr">
        <is>
          <t>WS12 — WS 12: POS / Store Workflows (Veras)</t>
        </is>
      </c>
      <c r="C15" s="70" t="inlineStr">
        <is>
          <t>E-WS12.3</t>
        </is>
      </c>
      <c r="D15" s="70" t="inlineStr">
        <is>
          <t>Benefit Redemption</t>
        </is>
      </c>
      <c r="E15" s="70" t="inlineStr">
        <is>
          <t>Free sample redeemed at register</t>
        </is>
      </c>
      <c r="F15" s="70" t="inlineStr">
        <is>
          <t>A Pro member picks up a free sample at POS. Member authorizes via TOTP in Pro App, POS submits signed JWS to consumption log, projection is updated (quantity -1).</t>
        </is>
      </c>
      <c r="G15" s="70" t="inlineStr">
        <is>
          <t>SO-WF-7, S-1</t>
        </is>
      </c>
      <c r="H15" s="70" t="inlineStr">
        <is>
          <t>AC: [Author TBD] Write Given/When/Then for happy path + edge cases.
    - Happy path: …
    - Edge case 1: …
    - Edge case 2: …
Definition of Ready: at least 2 ACs written and 0 unresolved Decision Log items.</t>
        </is>
      </c>
      <c r="I15" s="70" t="inlineStr">
        <is>
          <t>Full write-path flow. See Architecture Overview.</t>
        </is>
      </c>
      <c r="J15" s="70" t="inlineStr">
        <is>
          <t>Full Launch</t>
        </is>
      </c>
      <c r="K15" s="70" t="inlineStr">
        <is>
          <t>Relationship</t>
        </is>
      </c>
      <c r="L15" s="70" t="inlineStr">
        <is>
          <t>Yes</t>
        </is>
      </c>
      <c r="M15" s="70" t="n"/>
      <c r="N15" s="70" t="inlineStr">
        <is>
          <t>Not Started</t>
        </is>
      </c>
      <c r="O15" s="70" t="n"/>
    </row>
    <row r="16">
      <c r="A16" s="70" t="n">
        <v>15</v>
      </c>
      <c r="B16" s="70" t="inlineStr">
        <is>
          <t>WS11 — WS 11: E-commerce Web</t>
        </is>
      </c>
      <c r="C16" s="70" t="inlineStr">
        <is>
          <t>E-WS11.3</t>
        </is>
      </c>
      <c r="D16" s="70" t="inlineStr">
        <is>
          <t>Benefit Redemption</t>
        </is>
      </c>
      <c r="E16" s="70" t="inlineStr">
        <is>
          <t>Free shipping applied on web order</t>
        </is>
      </c>
      <c r="F16" s="70" t="inlineStr">
        <is>
          <t>A Pro member places a web order. loyalty-benefits confirms active FREE_SHIPPING benefit, shipping is waived automatically. Consumption event logged.</t>
        </is>
      </c>
      <c r="G16" s="70" t="inlineStr">
        <is>
          <t>D-EM-7, D-EM-10, D-S-2</t>
        </is>
      </c>
      <c r="H16" s="70" t="inlineStr">
        <is>
          <t>AC: [Author TBD] Write Given/When/Then for happy path + edge cases.
    - Happy path: …
    - Edge case 1: …
    - Edge case 2: …
Definition of Ready: at least 2 ACs written and 0 unresolved Decision Log items.</t>
        </is>
      </c>
      <c r="I16" s="70" t="inlineStr">
        <is>
          <t>Standing benefit — quantity not decremented.</t>
        </is>
      </c>
      <c r="J16" s="70" t="inlineStr">
        <is>
          <t>Beta</t>
        </is>
      </c>
      <c r="K16" s="70" t="inlineStr">
        <is>
          <t>Relationship</t>
        </is>
      </c>
      <c r="L16" s="70" t="inlineStr">
        <is>
          <t>Yes</t>
        </is>
      </c>
      <c r="M16" s="70" t="n"/>
      <c r="N16" s="70" t="inlineStr">
        <is>
          <t>Not Started</t>
        </is>
      </c>
      <c r="O16" s="70" t="n"/>
    </row>
    <row r="17">
      <c r="A17" s="70" t="n">
        <v>16</v>
      </c>
      <c r="B17" s="70" t="inlineStr">
        <is>
          <t>WS2 — WS 2: Financial Awards &amp; Rewards</t>
        </is>
      </c>
      <c r="C17" s="70" t="inlineStr">
        <is>
          <t>E-WS2.2</t>
        </is>
      </c>
      <c r="D17" s="70" t="inlineStr">
        <is>
          <t>Benefit Redemption</t>
        </is>
      </c>
      <c r="E17" s="70" t="inlineStr">
        <is>
          <t>Redemption attempted — benefit not held</t>
        </is>
      </c>
      <c r="F17" s="70" t="inlineStr">
        <is>
          <t>A customer attempts to redeem a benefit they do not have. loyalty-benefits returns no active benefit of that type. POS rejects gracefully.</t>
        </is>
      </c>
      <c r="G17" s="70" t="inlineStr">
        <is>
          <t>SO-WF-8, R-GC-1</t>
        </is>
      </c>
      <c r="H17" s="70" t="inlineStr">
        <is>
          <t>AC: [Author TBD] Write Given/When/Then for happy path + edge cases.
    - Happy path: …
    - Edge case 1: …
    - Edge case 2: …
Definition of Ready: at least 2 ACs written and 0 unresolved Decision Log items.</t>
        </is>
      </c>
      <c r="I17" s="70" t="n"/>
      <c r="J17" s="70" t="inlineStr">
        <is>
          <t>Beta</t>
        </is>
      </c>
      <c r="K17" s="70" t="inlineStr">
        <is>
          <t>Relationship</t>
        </is>
      </c>
      <c r="L17" s="70" t="inlineStr">
        <is>
          <t>Yes</t>
        </is>
      </c>
      <c r="M17" s="70" t="n"/>
      <c r="N17" s="70" t="inlineStr">
        <is>
          <t>Not Started</t>
        </is>
      </c>
      <c r="O17" s="70" t="n"/>
    </row>
    <row r="18">
      <c r="A18" s="70" t="n">
        <v>17</v>
      </c>
      <c r="B18" s="70" t="inlineStr">
        <is>
          <t>WS2 — WS 2: Financial Awards &amp; Rewards</t>
        </is>
      </c>
      <c r="C18" s="70" t="inlineStr">
        <is>
          <t>E-WS2.3</t>
        </is>
      </c>
      <c r="D18" s="70" t="inlineStr">
        <is>
          <t>Benefit Redemption</t>
        </is>
      </c>
      <c r="E18" s="70" t="inlineStr">
        <is>
          <t>Redemption attempted — benefit expired</t>
        </is>
      </c>
      <c r="F18" s="70" t="inlineStr">
        <is>
          <t>A customer attempts to redeem a benefit whose expires_at has passed. The benefit is in EXPIRED state. Request rejected with clear reason code.</t>
        </is>
      </c>
      <c r="G18" s="70" t="inlineStr">
        <is>
          <t>R-GC-6</t>
        </is>
      </c>
      <c r="H18" s="70" t="inlineStr">
        <is>
          <t>AC: [Author TBD] Write Given/When/Then for happy path + edge cases.
    - Happy path: …
    - Edge case 1: …
    - Edge case 2: …
Definition of Ready: at least 2 ACs written and 0 unresolved Decision Log items.</t>
        </is>
      </c>
      <c r="I18" s="70" t="n"/>
      <c r="J18" s="70" t="inlineStr">
        <is>
          <t>Beta</t>
        </is>
      </c>
      <c r="K18" s="70" t="inlineStr">
        <is>
          <t>Relationship</t>
        </is>
      </c>
      <c r="L18" s="70" t="inlineStr">
        <is>
          <t>Yes</t>
        </is>
      </c>
      <c r="M18" s="70" t="n"/>
      <c r="N18" s="70" t="inlineStr">
        <is>
          <t>Not Started</t>
        </is>
      </c>
      <c r="O18" s="70" t="n"/>
    </row>
    <row r="19">
      <c r="A19" s="70" t="n">
        <v>18</v>
      </c>
      <c r="B19" s="70" t="inlineStr">
        <is>
          <t>WS5 — WS 5: Offers &amp; Benefit Fulfillment (Delivery, Samples, Bid Room)</t>
        </is>
      </c>
      <c r="C19" s="70" t="inlineStr">
        <is>
          <t>E-WS5.3</t>
        </is>
      </c>
      <c r="D19" s="70" t="inlineStr">
        <is>
          <t>Benefit Redemption</t>
        </is>
      </c>
      <c r="E19" s="70" t="inlineStr">
        <is>
          <t>Last free sample redeemed</t>
        </is>
      </c>
      <c r="F19" s="70" t="inlineStr">
        <is>
          <t>A Pro member uses their last remaining free sample. quantity_remaining reaches 0. Benefit transitions to CONSUMED state.</t>
        </is>
      </c>
      <c r="G19" s="70" t="inlineStr">
        <is>
          <t>S-7</t>
        </is>
      </c>
      <c r="H19" s="70" t="inlineStr">
        <is>
          <t>AC: [Author TBD] Write Given/When/Then for happy path + edge cases.
    - Happy path: …
    - Edge case 1: …
    - Edge case 2: …
Definition of Ready: at least 2 ACs written and 0 unresolved Decision Log items.</t>
        </is>
      </c>
      <c r="I19" s="70" t="n"/>
      <c r="J19" s="70" t="inlineStr">
        <is>
          <t>Full Launch</t>
        </is>
      </c>
      <c r="K19" s="70" t="inlineStr">
        <is>
          <t>Relationship</t>
        </is>
      </c>
      <c r="L19" s="70" t="inlineStr">
        <is>
          <t>Yes</t>
        </is>
      </c>
      <c r="M19" s="70" t="n"/>
      <c r="N19" s="70" t="inlineStr">
        <is>
          <t>Not Started</t>
        </is>
      </c>
      <c r="O19" s="70" t="n"/>
    </row>
    <row r="20">
      <c r="A20" s="70" t="n">
        <v>19</v>
      </c>
      <c r="B20" s="70" t="inlineStr">
        <is>
          <t>WS8 — WS 8: CRM Systems Enablement</t>
        </is>
      </c>
      <c r="C20" s="70" t="inlineStr">
        <is>
          <t>E-WS8.4</t>
        </is>
      </c>
      <c r="D20" s="70" t="inlineStr">
        <is>
          <t>Delegation and Grants</t>
        </is>
      </c>
      <c r="E20" s="70" t="inlineStr">
        <is>
          <t>Primary grants Delegate benefit redemption</t>
        </is>
      </c>
      <c r="F20" s="70" t="inlineStr">
        <is>
          <t>An Account Primary grants a Delegate (employee) permission to redeem free samples on the account. Signed DELEGATION_GRANTED JWS stored in fnd-identity; grant projected into loyalty-benefits.</t>
        </is>
      </c>
      <c r="G20" s="70" t="inlineStr">
        <is>
          <t>CRM-AS-19, CRM Permission Matrix, M-GC-5</t>
        </is>
      </c>
      <c r="H20" s="70" t="inlineStr">
        <is>
          <t>AC: [Author TBD] Write Given/When/Then for happy path + edge cases.
    - Happy path: …
    - Edge case 1: …
    - Edge case 2: …
Definition of Ready: at least 2 ACs written and 0 unresolved Decision Log items.</t>
        </is>
      </c>
      <c r="I20" s="70" t="inlineStr">
        <is>
          <t>Redemption scope: CONFIGURABLE. Default is Primary-only.</t>
        </is>
      </c>
      <c r="J20" s="70" t="inlineStr">
        <is>
          <t>Full Launch</t>
        </is>
      </c>
      <c r="K20" s="70" t="inlineStr">
        <is>
          <t>Grant</t>
        </is>
      </c>
      <c r="L20" s="70" t="inlineStr">
        <is>
          <t>No</t>
        </is>
      </c>
      <c r="M20" s="70" t="n"/>
      <c r="N20" s="70" t="inlineStr">
        <is>
          <t>Not Started</t>
        </is>
      </c>
      <c r="O20" s="70" t="n"/>
    </row>
    <row r="21">
      <c r="A21" s="70" t="n">
        <v>20</v>
      </c>
      <c r="B21" s="70" t="inlineStr">
        <is>
          <t>WS8 — WS 8: CRM Systems Enablement</t>
        </is>
      </c>
      <c r="C21" s="70" t="inlineStr">
        <is>
          <t>E-WS8.4</t>
        </is>
      </c>
      <c r="D21" s="70" t="inlineStr">
        <is>
          <t>Delegation and Grants</t>
        </is>
      </c>
      <c r="E21" s="70" t="inlineStr">
        <is>
          <t>Primary grants Delegate budgeted authority</t>
        </is>
      </c>
      <c r="F21" s="70" t="inlineStr">
        <is>
          <t>An Account Primary grants a Delegate a BUDGETED grant (e.g. up to $100 of account benefits). Delegate can spend against the account up to the cap.</t>
        </is>
      </c>
      <c r="G21" s="70" t="inlineStr">
        <is>
          <t>CRM-AS-19, J-GC-8</t>
        </is>
      </c>
      <c r="H21" s="70" t="inlineStr">
        <is>
          <t>AC: [Author TBD] Write Given/When/Then for happy path + edge cases.
    - Happy path: …
    - Edge case 1: …
    - Edge case 2: …
Definition of Ready: at least 2 ACs written and 0 unresolved Decision Log items.</t>
        </is>
      </c>
      <c r="I21" s="70" t="inlineStr">
        <is>
          <t>Rule engine tracks consumed_quantity against cap.</t>
        </is>
      </c>
      <c r="J21" s="70" t="inlineStr">
        <is>
          <t>Full Launch</t>
        </is>
      </c>
      <c r="K21" s="70" t="inlineStr">
        <is>
          <t>Grant</t>
        </is>
      </c>
      <c r="L21" s="70" t="inlineStr">
        <is>
          <t>No</t>
        </is>
      </c>
      <c r="M21" s="70" t="n"/>
      <c r="N21" s="70" t="inlineStr">
        <is>
          <t>Not Started</t>
        </is>
      </c>
      <c r="O21" s="70" t="n"/>
    </row>
    <row r="22">
      <c r="A22" s="70" t="n">
        <v>21</v>
      </c>
      <c r="B22" s="70" t="inlineStr">
        <is>
          <t>WS8 — WS 8: CRM Systems Enablement</t>
        </is>
      </c>
      <c r="C22" s="70" t="inlineStr">
        <is>
          <t>E-WS8.4</t>
        </is>
      </c>
      <c r="D22" s="70" t="inlineStr">
        <is>
          <t>Delegation and Grants</t>
        </is>
      </c>
      <c r="E22" s="70" t="inlineStr">
        <is>
          <t>Delegate redeems benefit against grant</t>
        </is>
      </c>
      <c r="F22" s="70" t="inlineStr">
        <is>
          <t>A Delegate redeems a benefit using an active grant. Consumption event carries both Delegate contact_id and grant_id. Account's pool is decremented.</t>
        </is>
      </c>
      <c r="G22" s="70" t="inlineStr">
        <is>
          <t>J-GC-8, CRM-AS-8, CRM-AS-5, CRM-AS-7</t>
        </is>
      </c>
      <c r="H22" s="70" t="inlineStr">
        <is>
          <t>AC: [Author TBD] Write Given/When/Then for happy path + edge cases.
    - Happy path: …
    - Edge case 1: …
    - Edge case 2: …
Definition of Ready: at least 2 ACs written and 0 unresolved Decision Log items.</t>
        </is>
      </c>
      <c r="I22" s="70" t="n"/>
      <c r="J22" s="70" t="inlineStr">
        <is>
          <t>Full Launch</t>
        </is>
      </c>
      <c r="K22" s="70" t="inlineStr">
        <is>
          <t>Grant</t>
        </is>
      </c>
      <c r="L22" s="70" t="inlineStr">
        <is>
          <t>Yes</t>
        </is>
      </c>
      <c r="M22" s="70" t="n"/>
      <c r="N22" s="70" t="inlineStr">
        <is>
          <t>Not Started</t>
        </is>
      </c>
      <c r="O22" s="70" t="n"/>
    </row>
    <row r="23">
      <c r="A23" s="70" t="n">
        <v>22</v>
      </c>
      <c r="B23" s="70" t="inlineStr">
        <is>
          <t>WS8 — WS 8: CRM Systems Enablement</t>
        </is>
      </c>
      <c r="C23" s="70" t="inlineStr">
        <is>
          <t>E-WS8.4</t>
        </is>
      </c>
      <c r="D23" s="70" t="inlineStr">
        <is>
          <t>Delegation and Grants</t>
        </is>
      </c>
      <c r="E23" s="70" t="inlineStr">
        <is>
          <t>Delegate exhausts granted budget</t>
        </is>
      </c>
      <c r="F23" s="70" t="inlineStr">
        <is>
          <t>A Delegate's consumption reaches the BUDGETED grant cap. Grant transitions to EXHAUSTED. Further redemption attempts under this grant are rejected.</t>
        </is>
      </c>
      <c r="G23" s="70" t="inlineStr">
        <is>
          <t>J-GC-8</t>
        </is>
      </c>
      <c r="H23" s="70" t="inlineStr">
        <is>
          <t>AC: [Author TBD] Write Given/When/Then for happy path + edge cases.
    - Happy path: …
    - Edge case 1: …
    - Edge case 2: …
Definition of Ready: at least 2 ACs written and 0 unresolved Decision Log items.</t>
        </is>
      </c>
      <c r="I23" s="70" t="n"/>
      <c r="J23" s="70" t="inlineStr">
        <is>
          <t>Full Launch</t>
        </is>
      </c>
      <c r="K23" s="70" t="inlineStr">
        <is>
          <t>Grant</t>
        </is>
      </c>
      <c r="L23" s="70" t="inlineStr">
        <is>
          <t>Yes</t>
        </is>
      </c>
      <c r="M23" s="70" t="n"/>
      <c r="N23" s="70" t="inlineStr">
        <is>
          <t>Not Started</t>
        </is>
      </c>
      <c r="O23" s="70" t="n"/>
    </row>
    <row r="24">
      <c r="A24" s="70" t="n">
        <v>23</v>
      </c>
      <c r="B24" s="70" t="inlineStr">
        <is>
          <t>WS8 — WS 8: CRM Systems Enablement</t>
        </is>
      </c>
      <c r="C24" s="70" t="inlineStr">
        <is>
          <t>E-WS8.4</t>
        </is>
      </c>
      <c r="D24" s="70" t="inlineStr">
        <is>
          <t>Delegation and Grants</t>
        </is>
      </c>
      <c r="E24" s="70" t="inlineStr">
        <is>
          <t>Primary revokes a grant</t>
        </is>
      </c>
      <c r="F24" s="70" t="inlineStr">
        <is>
          <t>An Account Primary revokes an active delegation grant. DELEGATION_REVOKED event logged. Delegate immediately loses access; grant transitions to REVOKED.</t>
        </is>
      </c>
      <c r="G24" s="70" t="inlineStr">
        <is>
          <t>CRM-AS-19</t>
        </is>
      </c>
      <c r="H24" s="70" t="inlineStr">
        <is>
          <t>AC: [Author TBD] Write Given/When/Then for happy path + edge cases.
    - Happy path: …
    - Edge case 1: …
    - Edge case 2: …
Definition of Ready: at least 2 ACs written and 0 unresolved Decision Log items.</t>
        </is>
      </c>
      <c r="I24" s="70" t="n"/>
      <c r="J24" s="70" t="inlineStr">
        <is>
          <t>Full Launch</t>
        </is>
      </c>
      <c r="K24" s="70" t="inlineStr">
        <is>
          <t>Grant</t>
        </is>
      </c>
      <c r="L24" s="70" t="inlineStr">
        <is>
          <t>No</t>
        </is>
      </c>
      <c r="M24" s="70" t="n"/>
      <c r="N24" s="70" t="inlineStr">
        <is>
          <t>Not Started</t>
        </is>
      </c>
      <c r="O24" s="70" t="n"/>
    </row>
    <row r="25">
      <c r="A25" s="70" t="n">
        <v>24</v>
      </c>
      <c r="B25" s="70" t="inlineStr">
        <is>
          <t>WS8 — WS 8: CRM Systems Enablement</t>
        </is>
      </c>
      <c r="C25" s="70" t="inlineStr">
        <is>
          <t>E-WS8.4</t>
        </is>
      </c>
      <c r="D25" s="70" t="inlineStr">
        <is>
          <t>Delegation and Grants</t>
        </is>
      </c>
      <c r="E25" s="70" t="inlineStr">
        <is>
          <t>Primary grants recurring free shipping to family member</t>
        </is>
      </c>
      <c r="F25" s="70" t="inlineStr">
        <is>
          <t>An Account Primary creates a PERMISSION grant giving a family member free shipping on the account. Standing, no quantity cap.</t>
        </is>
      </c>
      <c r="G25" s="70" t="inlineStr">
        <is>
          <t>J-GC-8</t>
        </is>
      </c>
      <c r="H25" s="70" t="inlineStr">
        <is>
          <t>AC: [Author TBD] Write Given/When/Then for happy path + edge cases.
    - Happy path: …
    - Edge case 1: …
    - Edge case 2: …
Definition of Ready: at least 2 ACs written and 0 unresolved Decision Log items.</t>
        </is>
      </c>
      <c r="I25" s="70" t="n"/>
      <c r="J25" s="70" t="inlineStr">
        <is>
          <t>Full Launch</t>
        </is>
      </c>
      <c r="K25" s="70" t="inlineStr">
        <is>
          <t>Grant</t>
        </is>
      </c>
      <c r="L25" s="70" t="inlineStr">
        <is>
          <t>No</t>
        </is>
      </c>
      <c r="M25" s="70" t="n"/>
      <c r="N25" s="70" t="inlineStr">
        <is>
          <t>Not Started</t>
        </is>
      </c>
      <c r="O25" s="70" t="n"/>
    </row>
    <row r="26">
      <c r="A26" s="70" t="n">
        <v>25</v>
      </c>
      <c r="B26" s="70" t="inlineStr">
        <is>
          <t>WS8 — WS 8: CRM Systems Enablement</t>
        </is>
      </c>
      <c r="C26" s="70" t="inlineStr">
        <is>
          <t>E-WS8.4</t>
        </is>
      </c>
      <c r="D26" s="70" t="inlineStr">
        <is>
          <t>Delegation and Grants</t>
        </is>
      </c>
      <c r="E26" s="70" t="inlineStr">
        <is>
          <t>Single-use grant created and consumed</t>
        </is>
      </c>
      <c r="F26" s="70" t="inlineStr">
        <is>
          <t>An Account Primary creates a SINGLE_USE grant. Used once by the grantee; automatically invalidated after first use.</t>
        </is>
      </c>
      <c r="G26" s="70" t="inlineStr">
        <is>
          <t>J-GC-8</t>
        </is>
      </c>
      <c r="H26" s="70" t="inlineStr">
        <is>
          <t>AC: [Author TBD] Write Given/When/Then for happy path + edge cases.
    - Happy path: …
    - Edge case 1: …
    - Edge case 2: …
Definition of Ready: at least 2 ACs written and 0 unresolved Decision Log items.</t>
        </is>
      </c>
      <c r="I26" s="70" t="n"/>
      <c r="J26" s="70" t="inlineStr">
        <is>
          <t>Beta</t>
        </is>
      </c>
      <c r="K26" s="70" t="inlineStr">
        <is>
          <t>Grant</t>
        </is>
      </c>
      <c r="L26" s="70" t="inlineStr">
        <is>
          <t>Yes</t>
        </is>
      </c>
      <c r="M26" s="70" t="n"/>
      <c r="N26" s="70" t="inlineStr">
        <is>
          <t>Not Started</t>
        </is>
      </c>
      <c r="O26" s="70" t="n"/>
    </row>
    <row r="27">
      <c r="A27" s="70" t="n">
        <v>26</v>
      </c>
      <c r="B27" s="70" t="inlineStr">
        <is>
          <t>WS17 — WS 17: Security &amp; Identity</t>
        </is>
      </c>
      <c r="C27" s="70" t="inlineStr">
        <is>
          <t>E-WS17.2</t>
        </is>
      </c>
      <c r="D27" s="70" t="inlineStr">
        <is>
          <t>Delegation and Grants</t>
        </is>
      </c>
      <c r="E27" s="70" t="inlineStr">
        <is>
          <t>Delegation attempted on PRIMARY_ONLY benefit</t>
        </is>
      </c>
      <c r="F27" s="70" t="inlineStr">
        <is>
          <t>A Primary attempts to delegate a benefit whose redemption_scope is PRIMARY_ONLY. Request rejected at pre-signing validation before TOTP step-up.</t>
        </is>
      </c>
      <c r="G27" s="70" t="inlineStr">
        <is>
          <t>CRM Permission Matrix, J-CR-2, M-CR-4, M-GC-5</t>
        </is>
      </c>
      <c r="H27" s="70" t="inlineStr">
        <is>
          <t>AC: [Author TBD] Write Given/When/Then for happy path + edge cases.
    - Happy path: …
    - Edge case 1: …
    - Edge case 2: …
Definition of Ready: at least 2 ACs written and 0 unresolved Decision Log items.</t>
        </is>
      </c>
      <c r="I27" s="70" t="inlineStr">
        <is>
          <t>POST /api/v1/accounts/{id}/grants/validate endpoint.</t>
        </is>
      </c>
      <c r="J27" s="70" t="inlineStr">
        <is>
          <t>Full Launch</t>
        </is>
      </c>
      <c r="K27" s="70" t="inlineStr">
        <is>
          <t>Grant</t>
        </is>
      </c>
      <c r="L27" s="70" t="inlineStr">
        <is>
          <t>No</t>
        </is>
      </c>
      <c r="M27" s="70" t="n"/>
      <c r="N27" s="70" t="inlineStr">
        <is>
          <t>Not Started</t>
        </is>
      </c>
      <c r="O27" s="70" t="n"/>
    </row>
    <row r="28">
      <c r="A28" s="70" t="n">
        <v>27</v>
      </c>
      <c r="B28" s="70" t="inlineStr">
        <is>
          <t>WS17 — WS 17: Security &amp; Identity</t>
        </is>
      </c>
      <c r="C28" s="70" t="inlineStr">
        <is>
          <t>E-WS17.1</t>
        </is>
      </c>
      <c r="D28" s="70" t="inlineStr">
        <is>
          <t>Account and Identity</t>
        </is>
      </c>
      <c r="E28" s="70" t="inlineStr">
        <is>
          <t>Contact authenticates and signs a consumption event</t>
        </is>
      </c>
      <c r="F28" s="70" t="inlineStr">
        <is>
          <t>A Contact passes TOTP step-up in fnd-identity, receives a signed JWS, and submits it to the consumption log for an authorized action.</t>
        </is>
      </c>
      <c r="G28" s="70" t="inlineStr">
        <is>
          <t>CRM-AS-18, R-GC-1</t>
        </is>
      </c>
      <c r="H28" s="70" t="inlineStr">
        <is>
          <t>AC: [Author TBD] Write Given/When/Then for happy path + edge cases.
    - Happy path: …
    - Edge case 1: …
    - Edge case 2: …
Definition of Ready: at least 2 ACs written and 0 unresolved Decision Log items.</t>
        </is>
      </c>
      <c r="I28" s="70" t="inlineStr">
        <is>
          <t>One TOTP per Contact, keypairs scoped per account-role.</t>
        </is>
      </c>
      <c r="J28" s="70" t="inlineStr">
        <is>
          <t>Beta</t>
        </is>
      </c>
      <c r="K28" s="70" t="inlineStr">
        <is>
          <t>Grant</t>
        </is>
      </c>
      <c r="L28" s="70" t="inlineStr">
        <is>
          <t>Yes</t>
        </is>
      </c>
      <c r="M28" s="70" t="n"/>
      <c r="N28" s="70" t="inlineStr">
        <is>
          <t>Not Started</t>
        </is>
      </c>
      <c r="O28" s="70" t="n"/>
    </row>
    <row r="29">
      <c r="A29" s="70" t="n">
        <v>28</v>
      </c>
      <c r="B29" s="70" t="inlineStr">
        <is>
          <t>WS12 — WS 12: POS / Store Workflows (Veras)</t>
        </is>
      </c>
      <c r="C29" s="70" t="inlineStr">
        <is>
          <t>E-WS12.1</t>
        </is>
      </c>
      <c r="D29" s="70" t="inlineStr">
        <is>
          <t>Account and Identity</t>
        </is>
      </c>
      <c r="E29" s="70" t="inlineStr">
        <is>
          <t>Contact selects active account at POS (multi-account)</t>
        </is>
      </c>
      <c r="F29" s="70" t="inlineStr">
        <is>
          <t>A Contact who is Primary on two accounts presents at POS. The originating system (Pro App or cashier) selects which account the transaction belongs to before signing.</t>
        </is>
      </c>
      <c r="G29" s="70" t="inlineStr">
        <is>
          <t>CRM-AS-9, CRM-AS-10</t>
        </is>
      </c>
      <c r="H29" s="70" t="inlineStr">
        <is>
          <t>AC: [Author TBD] Write Given/When/Then for happy path + edge cases.
    - Happy path: …
    - Edge case 1: …
    - Edge case 2: …
Definition of Ready: at least 2 ACs written and 0 unresolved Decision Log items.</t>
        </is>
      </c>
      <c r="I29" s="70" t="inlineStr">
        <is>
          <t>UX TBD. QR code or session token carries account_id.</t>
        </is>
      </c>
      <c r="J29" s="70" t="inlineStr">
        <is>
          <t>Full Launch</t>
        </is>
      </c>
      <c r="K29" s="70" t="inlineStr">
        <is>
          <t>Relationship</t>
        </is>
      </c>
      <c r="L29" s="70" t="inlineStr">
        <is>
          <t>Yes</t>
        </is>
      </c>
      <c r="M29" s="70" t="n"/>
      <c r="N29" s="70" t="inlineStr">
        <is>
          <t>Not Started</t>
        </is>
      </c>
      <c r="O29" s="70" t="n"/>
    </row>
    <row r="30">
      <c r="A30" s="70" t="n">
        <v>29</v>
      </c>
      <c r="B30" s="70" t="inlineStr">
        <is>
          <t>WS8 — WS 8: CRM Systems Enablement</t>
        </is>
      </c>
      <c r="C30" s="70" t="inlineStr">
        <is>
          <t>E-WS8.4</t>
        </is>
      </c>
      <c r="D30" s="70" t="inlineStr">
        <is>
          <t>Account and Identity</t>
        </is>
      </c>
      <c r="E30" s="70" t="inlineStr">
        <is>
          <t>New Delegate added to an account</t>
        </is>
      </c>
      <c r="F30" s="70" t="inlineStr">
        <is>
          <t>An Account Primary adds a new Delegate Contact to their account in CRM. Relationship propagates to loyalty; new Delegate can transact against the account per default permissions.</t>
        </is>
      </c>
      <c r="G30" s="70" t="inlineStr">
        <is>
          <t>CRM-AS-13, CRM-DF-3, CRM-CM-3, CRM-DF-4</t>
        </is>
      </c>
      <c r="H30" s="70" t="inlineStr">
        <is>
          <t>AC: [Author TBD] Write Given/When/Then for happy path + edge cases.
    - Happy path: …
    - Edge case 1: …
    - Edge case 2: …
Definition of Ready: at least 2 ACs written and 0 unresolved Decision Log items.</t>
        </is>
      </c>
      <c r="I30" s="70" t="n"/>
      <c r="J30" s="70" t="inlineStr">
        <is>
          <t>Full Launch</t>
        </is>
      </c>
      <c r="K30" s="70" t="inlineStr">
        <is>
          <t>Relationship</t>
        </is>
      </c>
      <c r="L30" s="70" t="inlineStr">
        <is>
          <t>No</t>
        </is>
      </c>
      <c r="M30" s="70" t="n"/>
      <c r="N30" s="70" t="inlineStr">
        <is>
          <t>Not Started</t>
        </is>
      </c>
      <c r="O30" s="70" t="n"/>
    </row>
    <row r="31">
      <c r="A31" s="70" t="n">
        <v>30</v>
      </c>
      <c r="B31" s="70" t="inlineStr">
        <is>
          <t>WS8 — WS 8: CRM Systems Enablement</t>
        </is>
      </c>
      <c r="C31" s="70" t="inlineStr">
        <is>
          <t>E-WS8.4</t>
        </is>
      </c>
      <c r="D31" s="70" t="inlineStr">
        <is>
          <t>Account and Identity</t>
        </is>
      </c>
      <c r="E31" s="70" t="inlineStr">
        <is>
          <t>Delegate removed from an account</t>
        </is>
      </c>
      <c r="F31" s="70" t="inlineStr">
        <is>
          <t>An Account Primary removes a Delegate. All active grants issued to that Delegate are revoked. DELEGATION_REVOKED events logged.</t>
        </is>
      </c>
      <c r="G31" s="70" t="inlineStr">
        <is>
          <t>CRM-AS-13</t>
        </is>
      </c>
      <c r="H31" s="70" t="inlineStr">
        <is>
          <t>AC: [Author TBD] Write Given/When/Then for happy path + edge cases.
    - Happy path: …
    - Edge case 1: …
    - Edge case 2: …
Definition of Ready: at least 2 ACs written and 0 unresolved Decision Log items.</t>
        </is>
      </c>
      <c r="I31" s="70" t="n"/>
      <c r="J31" s="70" t="inlineStr">
        <is>
          <t>Full Launch</t>
        </is>
      </c>
      <c r="K31" s="70" t="inlineStr">
        <is>
          <t>Relationship</t>
        </is>
      </c>
      <c r="L31" s="70" t="inlineStr">
        <is>
          <t>No</t>
        </is>
      </c>
      <c r="M31" s="70" t="n"/>
      <c r="N31" s="70" t="inlineStr">
        <is>
          <t>Not Started</t>
        </is>
      </c>
      <c r="O31" s="70" t="n"/>
    </row>
    <row r="32">
      <c r="A32" s="70" t="n">
        <v>31</v>
      </c>
      <c r="B32" s="70" t="inlineStr">
        <is>
          <t>WS8 — WS 8: CRM Systems Enablement</t>
        </is>
      </c>
      <c r="C32" s="70" t="inlineStr">
        <is>
          <t>E-WS8.1</t>
        </is>
      </c>
      <c r="D32" s="70" t="inlineStr">
        <is>
          <t>Account and Identity</t>
        </is>
      </c>
      <c r="E32" s="70" t="inlineStr">
        <is>
          <t>Account Primary changes</t>
        </is>
      </c>
      <c r="F32" s="70" t="inlineStr">
        <is>
          <t>Account ownership transfers to a new Primary Contact. PRIMARY_CHANGED event logged. All permissions and benefit ownership remain with the account.</t>
        </is>
      </c>
      <c r="G32" s="70" t="inlineStr">
        <is>
          <t>CRM-AS-15, CRM-AS-16</t>
        </is>
      </c>
      <c r="H32" s="70" t="inlineStr">
        <is>
          <t>AC: [Author TBD] Write Given/When/Then for happy path + edge cases.
    - Happy path: …
    - Edge case 1: …
    - Edge case 2: …
Definition of Ready: at least 2 ACs written and 0 unresolved Decision Log items.</t>
        </is>
      </c>
      <c r="I32" s="70" t="n"/>
      <c r="J32" s="70" t="inlineStr">
        <is>
          <t>Full Launch</t>
        </is>
      </c>
      <c r="K32" s="70" t="inlineStr">
        <is>
          <t>Relationship</t>
        </is>
      </c>
      <c r="L32" s="70" t="inlineStr">
        <is>
          <t>No</t>
        </is>
      </c>
      <c r="M32" s="70" t="n"/>
      <c r="N32" s="70" t="inlineStr">
        <is>
          <t>Not Started</t>
        </is>
      </c>
      <c r="O32" s="70" t="n"/>
    </row>
    <row r="33">
      <c r="A33" s="70" t="n">
        <v>32</v>
      </c>
      <c r="B33" s="70" t="inlineStr">
        <is>
          <t>WS8 — WS 8: CRM Systems Enablement</t>
        </is>
      </c>
      <c r="C33" s="70" t="inlineStr">
        <is>
          <t>E-WS8.3</t>
        </is>
      </c>
      <c r="D33" s="70" t="inlineStr">
        <is>
          <t>Account and Identity</t>
        </is>
      </c>
      <c r="E33" s="70" t="inlineStr">
        <is>
          <t>Two loyalty accounts merged</t>
        </is>
      </c>
      <c r="F33" s="70" t="inlineStr">
        <is>
          <t>Two loyalty accounts are merged (e.g. duplicate accounts discovered). ACCOUNT_MERGED event logged. Rule engine re-projects the merged account using combined history.</t>
        </is>
      </c>
      <c r="G33" s="70" t="inlineStr">
        <is>
          <t>CRM-CM-4, CRM-CM-1</t>
        </is>
      </c>
      <c r="H33" s="70" t="inlineStr">
        <is>
          <t>AC: [Author TBD] Write Given/When/Then for happy path + edge cases.
    - Happy path: …
    - Edge case 1: …
    - Edge case 2: …
Definition of Ready: at least 2 ACs written and 0 unresolved Decision Log items.</t>
        </is>
      </c>
      <c r="I33" s="70" t="inlineStr">
        <is>
          <t>Tier, grant, and benefit conflict resolution TBD — see Draft Decisions.</t>
        </is>
      </c>
      <c r="J33" s="70" t="inlineStr">
        <is>
          <t>Full Launch</t>
        </is>
      </c>
      <c r="K33" s="70" t="inlineStr">
        <is>
          <t>System</t>
        </is>
      </c>
      <c r="L33" s="70" t="inlineStr">
        <is>
          <t>No</t>
        </is>
      </c>
      <c r="M33" s="70" t="n"/>
      <c r="N33" s="70" t="inlineStr">
        <is>
          <t>Not Started</t>
        </is>
      </c>
      <c r="O33" s="70" t="n"/>
    </row>
    <row r="34">
      <c r="A34" s="70" t="n">
        <v>33</v>
      </c>
      <c r="B34" s="70" t="inlineStr">
        <is>
          <t>WS8 — WS 8: CRM Systems Enablement</t>
        </is>
      </c>
      <c r="C34" s="70" t="inlineStr">
        <is>
          <t>E-WS8.3</t>
        </is>
      </c>
      <c r="D34" s="70" t="inlineStr">
        <is>
          <t>Account and Identity</t>
        </is>
      </c>
      <c r="E34" s="70" t="inlineStr">
        <is>
          <t>Merged account unmerged (reversal)</t>
        </is>
      </c>
      <c r="F34" s="70" t="inlineStr">
        <is>
          <t>A mistaken account merge is reversed. History is separated back to the original accounts. Re-projection triggered for both.</t>
        </is>
      </c>
      <c r="G34" s="70" t="inlineStr">
        <is>
          <t>CRM-CM-4</t>
        </is>
      </c>
      <c r="H34" s="70" t="inlineStr">
        <is>
          <t>AC: [Author TBD] Write Given/When/Then for happy path + edge cases.
    - Happy path: …
    - Edge case 1: …
    - Edge case 2: …
Definition of Ready: at least 2 ACs written and 0 unresolved Decision Log items.</t>
        </is>
      </c>
      <c r="I34" s="70" t="inlineStr">
        <is>
          <t>Edge case. Supported as reversal of merge only — not arbitrary splits.</t>
        </is>
      </c>
      <c r="J34" s="70" t="inlineStr">
        <is>
          <t>Full Launch</t>
        </is>
      </c>
      <c r="K34" s="70" t="inlineStr">
        <is>
          <t>System</t>
        </is>
      </c>
      <c r="L34" s="70" t="inlineStr">
        <is>
          <t>No</t>
        </is>
      </c>
      <c r="M34" s="70" t="n"/>
      <c r="N34" s="70" t="inlineStr">
        <is>
          <t>Not Started</t>
        </is>
      </c>
      <c r="O34" s="70" t="n"/>
    </row>
    <row r="35">
      <c r="A35" s="70" t="n">
        <v>34</v>
      </c>
      <c r="B35" s="70" t="inlineStr">
        <is>
          <t>WS12 — WS 12: POS / Store Workflows (Veras)</t>
        </is>
      </c>
      <c r="C35" s="70" t="inlineStr">
        <is>
          <t>E-WS12.2</t>
        </is>
      </c>
      <c r="D35" s="70" t="inlineStr">
        <is>
          <t>POS and Checkout</t>
        </is>
      </c>
      <c r="E35" s="70" t="inlineStr">
        <is>
          <t>POS queries available benefits at checkout start</t>
        </is>
      </c>
      <c r="F35" s="70" t="inlineStr">
        <is>
          <t>POS calls GET /api/v1/accounts/{id}/benefits at the start of a checkout. loyalty-benefits returns active benefits from projection (cache-first, 30s TTL).</t>
        </is>
      </c>
      <c r="G35" s="70" t="inlineStr">
        <is>
          <t>SO-AI-1, SO-AI-3, SO-AI-5</t>
        </is>
      </c>
      <c r="H35" s="70" t="inlineStr">
        <is>
          <t>AC: [Author TBD] Write Given/When/Then for happy path + edge cases.
    - Happy path: …
    - Edge case 1: …
    - Edge case 2: …
Definition of Ready: at least 2 ACs written and 0 unresolved Decision Log items.</t>
        </is>
      </c>
      <c r="I35" s="70" t="inlineStr">
        <is>
          <t>Rule engine not in hot path. Cache hit target: p99 &lt; 50ms.</t>
        </is>
      </c>
      <c r="J35" s="70" t="inlineStr">
        <is>
          <t>Beta</t>
        </is>
      </c>
      <c r="K35" s="70" t="inlineStr">
        <is>
          <t>Relationship</t>
        </is>
      </c>
      <c r="L35" s="70" t="inlineStr">
        <is>
          <t>Yes</t>
        </is>
      </c>
      <c r="M35" s="70" t="n"/>
      <c r="N35" s="70" t="inlineStr">
        <is>
          <t>Not Started</t>
        </is>
      </c>
      <c r="O35" s="70" t="n"/>
    </row>
    <row r="36">
      <c r="A36" s="70" t="n">
        <v>35</v>
      </c>
      <c r="B36" s="70" t="inlineStr">
        <is>
          <t>WS12 — WS 12: POS / Store Workflows (Veras)</t>
        </is>
      </c>
      <c r="C36" s="70" t="inlineStr">
        <is>
          <t>E-WS12.3</t>
        </is>
      </c>
      <c r="D36" s="70" t="inlineStr">
        <is>
          <t>POS and Checkout</t>
        </is>
      </c>
      <c r="E36" s="70" t="inlineStr">
        <is>
          <t>Multiple benefits applied in one transaction</t>
        </is>
      </c>
      <c r="F36" s="70" t="inlineStr">
        <is>
          <t>POS applies both FREE_SAMPLES and FREE_SHIPPING in a single checkout. Two signed consumption events submitted; both appended and projected.</t>
        </is>
      </c>
      <c r="G36" s="70" t="inlineStr">
        <is>
          <t>SO-AI-3</t>
        </is>
      </c>
      <c r="H36" s="70" t="inlineStr">
        <is>
          <t>AC: [Author TBD] Write Given/When/Then for happy path + edge cases.
    - Happy path: …
    - Edge case 1: …
    - Edge case 2: …
Definition of Ready: at least 2 ACs written and 0 unresolved Decision Log items.</t>
        </is>
      </c>
      <c r="I36" s="70" t="n"/>
      <c r="J36" s="70" t="inlineStr">
        <is>
          <t>Beta</t>
        </is>
      </c>
      <c r="K36" s="70" t="inlineStr">
        <is>
          <t>Relationship</t>
        </is>
      </c>
      <c r="L36" s="70" t="inlineStr">
        <is>
          <t>Yes</t>
        </is>
      </c>
      <c r="M36" s="70" t="n"/>
      <c r="N36" s="70" t="inlineStr">
        <is>
          <t>Not Started</t>
        </is>
      </c>
      <c r="O36" s="70" t="n"/>
    </row>
    <row r="37">
      <c r="A37" s="70" t="n">
        <v>36</v>
      </c>
      <c r="B37" s="70" t="inlineStr">
        <is>
          <t>WS1 — WS 1: Core Loyalty Engine — Member, Tier &amp; Ledger</t>
        </is>
      </c>
      <c r="C37" s="70" t="inlineStr">
        <is>
          <t>E-WS1.4</t>
        </is>
      </c>
      <c r="D37" s="70" t="inlineStr">
        <is>
          <t>POS and Checkout</t>
        </is>
      </c>
      <c r="E37" s="70" t="inlineStr">
        <is>
          <t>Signed consumption event submitted and appended</t>
        </is>
      </c>
      <c r="F37" s="70" t="inlineStr">
        <is>
          <t>POS submits a valid signed JWS consumption event. Consumption log verifies signature (offline, cached JWKS), checks idempotency, appends, acks.</t>
        </is>
      </c>
      <c r="G37" s="70" t="inlineStr">
        <is>
          <t>CRM-AS-18, SO-WF-5</t>
        </is>
      </c>
      <c r="H37" s="70" t="inlineStr">
        <is>
          <t>AC: [Author TBD] Write Given/When/Then for happy path + edge cases.
    - Happy path: …
    - Edge case 1: …
    - Edge case 2: …
Definition of Ready: at least 2 ACs written and 0 unresolved Decision Log items.</t>
        </is>
      </c>
      <c r="I37" s="70" t="n"/>
      <c r="J37" s="70" t="inlineStr">
        <is>
          <t>Beta</t>
        </is>
      </c>
      <c r="K37" s="70" t="inlineStr">
        <is>
          <t>Grant</t>
        </is>
      </c>
      <c r="L37" s="70" t="inlineStr">
        <is>
          <t>Yes</t>
        </is>
      </c>
      <c r="M37" s="70" t="n"/>
      <c r="N37" s="70" t="inlineStr">
        <is>
          <t>Not Started</t>
        </is>
      </c>
      <c r="O37" s="70" t="n"/>
    </row>
    <row r="38">
      <c r="A38" s="70" t="n">
        <v>37</v>
      </c>
      <c r="B38" s="70" t="inlineStr">
        <is>
          <t>WS7 — WS 7: Integration Service &amp; Event Backbone</t>
        </is>
      </c>
      <c r="C38" s="70" t="inlineStr">
        <is>
          <t>E-WS7.3</t>
        </is>
      </c>
      <c r="D38" s="70" t="inlineStr">
        <is>
          <t>POS and Checkout</t>
        </is>
      </c>
      <c r="E38" s="70" t="inlineStr">
        <is>
          <t>Duplicate event submitted (network retry)</t>
        </is>
      </c>
      <c r="F38" s="70" t="inlineStr">
        <is>
          <t>POS submits the same signed event twice due to a network retry. Idempotency key check deduplicates. Original event_id returned with HTTP 200.</t>
        </is>
      </c>
      <c r="G38" s="70" t="inlineStr">
        <is>
          <t>System reliability — no specific business rule</t>
        </is>
      </c>
      <c r="H38" s="70" t="inlineStr">
        <is>
          <t>AC: [Author TBD] Write Given/When/Then for happy path + edge cases.
    - Happy path: …
    - Edge case 1: …
    - Edge case 2: …
Definition of Ready: at least 2 ACs written and 0 unresolved Decision Log items.</t>
        </is>
      </c>
      <c r="I38" s="70" t="n"/>
      <c r="J38" s="70" t="inlineStr">
        <is>
          <t>Beta</t>
        </is>
      </c>
      <c r="K38" s="70" t="inlineStr">
        <is>
          <t>System</t>
        </is>
      </c>
      <c r="L38" s="70" t="inlineStr">
        <is>
          <t>Yes</t>
        </is>
      </c>
      <c r="M38" s="70" t="n"/>
      <c r="N38" s="70" t="inlineStr">
        <is>
          <t>Not Started</t>
        </is>
      </c>
      <c r="O38" s="70" t="n"/>
    </row>
    <row r="39">
      <c r="A39" s="70" t="n">
        <v>38</v>
      </c>
      <c r="B39" s="70" t="inlineStr">
        <is>
          <t>WS17 — WS 17: Security &amp; Identity</t>
        </is>
      </c>
      <c r="C39" s="70" t="inlineStr">
        <is>
          <t>E-WS17.3</t>
        </is>
      </c>
      <c r="D39" s="70" t="inlineStr">
        <is>
          <t>POS and Checkout</t>
        </is>
      </c>
      <c r="E39" s="70" t="inlineStr">
        <is>
          <t>Consumption event with revoked signing key rejected</t>
        </is>
      </c>
      <c r="F39" s="70" t="inlineStr">
        <is>
          <t>POS submits an event signed with a key that is on the fnd-identity revocation list. Consumption log rejects with KEY_REVOKED error.</t>
        </is>
      </c>
      <c r="G39" s="70" t="inlineStr">
        <is>
          <t>System security — no specific business rule</t>
        </is>
      </c>
      <c r="H39" s="70" t="inlineStr">
        <is>
          <t>AC: [Author TBD] Write Given/When/Then for happy path + edge cases.
    - Happy path: …
    - Edge case 1: …
    - Edge case 2: …
Definition of Ready: at least 2 ACs written and 0 unresolved Decision Log items.</t>
        </is>
      </c>
      <c r="I39" s="70" t="n"/>
      <c r="J39" s="70" t="inlineStr">
        <is>
          <t>Beta</t>
        </is>
      </c>
      <c r="K39" s="70" t="inlineStr">
        <is>
          <t>Grant</t>
        </is>
      </c>
      <c r="L39" s="70" t="inlineStr">
        <is>
          <t>Yes</t>
        </is>
      </c>
      <c r="M39" s="70" t="n"/>
      <c r="N39" s="70" t="inlineStr">
        <is>
          <t>Not Started</t>
        </is>
      </c>
      <c r="O39" s="70" t="n"/>
    </row>
    <row r="40">
      <c r="A40" s="70" t="n">
        <v>39</v>
      </c>
      <c r="B40" s="70" t="inlineStr">
        <is>
          <t>WS7 — WS 7: Integration Service &amp; Event Backbone</t>
        </is>
      </c>
      <c r="C40" s="70" t="inlineStr">
        <is>
          <t>E-WS7.2</t>
        </is>
      </c>
      <c r="D40" s="70" t="inlineStr">
        <is>
          <t>POS and Checkout</t>
        </is>
      </c>
      <c r="E40" s="70" t="inlineStr">
        <is>
          <t>loyalty-benefits unavailable at checkout</t>
        </is>
      </c>
      <c r="F40" s="70" t="inlineStr">
        <is>
          <t>loyalty-benefits is temporarily unavailable. POS degrades gracefully — no benefits applied to the transaction. Checkout completes without loyalty.</t>
        </is>
      </c>
      <c r="G40" s="70" t="inlineStr">
        <is>
          <t>System reliability — no specific business rule</t>
        </is>
      </c>
      <c r="H40" s="70" t="inlineStr">
        <is>
          <t>AC: [Author TBD] Write Given/When/Then for happy path + edge cases.
    - Happy path: …
    - Edge case 1: …
    - Edge case 2: …
Definition of Ready: at least 2 ACs written and 0 unresolved Decision Log items.</t>
        </is>
      </c>
      <c r="I40" s="70" t="inlineStr">
        <is>
          <t>Degradation strategy TBD.</t>
        </is>
      </c>
      <c r="J40" s="70" t="inlineStr">
        <is>
          <t>Beta</t>
        </is>
      </c>
      <c r="K40" s="70" t="inlineStr">
        <is>
          <t>N/A</t>
        </is>
      </c>
      <c r="L40" s="70" t="inlineStr">
        <is>
          <t>Yes</t>
        </is>
      </c>
      <c r="M40" s="70" t="n"/>
      <c r="N40" s="70" t="inlineStr">
        <is>
          <t>Not Started</t>
        </is>
      </c>
      <c r="O40" s="70" t="n"/>
    </row>
    <row r="41">
      <c r="A41" s="70" t="n">
        <v>40</v>
      </c>
      <c r="B41" s="70" t="inlineStr">
        <is>
          <t>WS7 — WS 7: Integration Service &amp; Event Backbone</t>
        </is>
      </c>
      <c r="C41" s="70" t="inlineStr">
        <is>
          <t>E-WS7.2</t>
        </is>
      </c>
      <c r="D41" s="70" t="inlineStr">
        <is>
          <t>POS and Checkout</t>
        </is>
      </c>
      <c r="E41" s="70" t="inlineStr">
        <is>
          <t>fnd-identity unavailable</t>
        </is>
      </c>
      <c r="F41" s="70" t="inlineStr">
        <is>
          <t>fnd-identity is unavailable. Consumption log serves JWKS from stale cache (up to 1 hour). Existing valid signed envelopes continue to verify. New signing requests fail.</t>
        </is>
      </c>
      <c r="G41" s="70" t="inlineStr">
        <is>
          <t>System reliability — no specific business rule</t>
        </is>
      </c>
      <c r="H41" s="70" t="inlineStr">
        <is>
          <t>AC: [Author TBD] Write Given/When/Then for happy path + edge cases.
    - Happy path: …
    - Edge case 1: …
    - Edge case 2: …
Definition of Ready: at least 2 ACs written and 0 unresolved Decision Log items.</t>
        </is>
      </c>
      <c r="I41" s="70" t="n"/>
      <c r="J41" s="70" t="inlineStr">
        <is>
          <t>Beta</t>
        </is>
      </c>
      <c r="K41" s="70" t="inlineStr">
        <is>
          <t>N/A</t>
        </is>
      </c>
      <c r="L41" s="70" t="inlineStr">
        <is>
          <t>Yes</t>
        </is>
      </c>
      <c r="M41" s="70" t="n"/>
      <c r="N41" s="70" t="inlineStr">
        <is>
          <t>Not Started</t>
        </is>
      </c>
      <c r="O41" s="70" t="n"/>
    </row>
    <row r="42">
      <c r="A42" s="70" t="n">
        <v>41</v>
      </c>
      <c r="B42" s="70" t="inlineStr">
        <is>
          <t>WS8 — WS 8: CRM Systems Enablement</t>
        </is>
      </c>
      <c r="C42" s="70" t="inlineStr">
        <is>
          <t>E-WS8.4</t>
        </is>
      </c>
      <c r="D42" s="70" t="inlineStr">
        <is>
          <t>QR Codes and Open Grants</t>
        </is>
      </c>
      <c r="E42" s="70" t="inlineStr">
        <is>
          <t>Primary generates open single-use QR code grant</t>
        </is>
      </c>
      <c r="F42" s="70" t="inlineStr">
        <is>
          <t>An Account Primary generates a QR code representing a single-use benefit grant with no specific grantee. Anyone who scans it can redeem.</t>
        </is>
      </c>
      <c r="G42" s="70" t="inlineStr">
        <is>
          <t>J-GC-8</t>
        </is>
      </c>
      <c r="H42" s="70" t="inlineStr">
        <is>
          <t>AC: [Author TBD] Write Given/When/Then for happy path + edge cases.
    - Happy path: …
    - Edge case 1: …
    - Edge case 2: …
Definition of Ready: at least 2 ACs written and 0 unresolved Decision Log items.</t>
        </is>
      </c>
      <c r="I42" s="70" t="inlineStr">
        <is>
          <t>Grantee filled in at redemption. IDP issues token for the QR code itself. See Draft Decisions.</t>
        </is>
      </c>
      <c r="J42" s="70" t="inlineStr">
        <is>
          <t>Beta</t>
        </is>
      </c>
      <c r="K42" s="70" t="inlineStr">
        <is>
          <t>Grant</t>
        </is>
      </c>
      <c r="L42" s="70" t="inlineStr">
        <is>
          <t>No</t>
        </is>
      </c>
      <c r="M42" s="70" t="n"/>
      <c r="N42" s="70" t="inlineStr">
        <is>
          <t>Not Started</t>
        </is>
      </c>
      <c r="O42" s="70" t="n"/>
    </row>
    <row r="43">
      <c r="A43" s="70" t="n">
        <v>42</v>
      </c>
      <c r="B43" s="70" t="inlineStr">
        <is>
          <t>WS2 — WS 2: Financial Awards &amp; Rewards</t>
        </is>
      </c>
      <c r="C43" s="70" t="inlineStr">
        <is>
          <t>E-WS2.2</t>
        </is>
      </c>
      <c r="D43" s="70" t="inlineStr">
        <is>
          <t>QR Codes and Open Grants</t>
        </is>
      </c>
      <c r="E43" s="70" t="inlineStr">
        <is>
          <t>Non-member redeems a QR code grant at register</t>
        </is>
      </c>
      <c r="F43" s="70" t="inlineStr">
        <is>
          <t>A person without a loyalty account scans a QR code grant at POS. Benefit is redeemed and associated with a guest transaction record.</t>
        </is>
      </c>
      <c r="G43" s="70" t="inlineStr">
        <is>
          <t>J-GC-8</t>
        </is>
      </c>
      <c r="H43" s="70" t="inlineStr">
        <is>
          <t>AC: [Author TBD] Write Given/When/Then for happy path + edge cases.
    - Happy path: …
    - Edge case 1: …
    - Edge case 2: …
Definition of Ready: at least 2 ACs written and 0 unresolved Decision Log items.</t>
        </is>
      </c>
      <c r="I43" s="70" t="inlineStr">
        <is>
          <t>Accountless redemption flow TBD.</t>
        </is>
      </c>
      <c r="J43" s="70" t="inlineStr">
        <is>
          <t>Full Launch</t>
        </is>
      </c>
      <c r="K43" s="70" t="inlineStr">
        <is>
          <t>Grant</t>
        </is>
      </c>
      <c r="L43" s="70" t="inlineStr">
        <is>
          <t>Yes</t>
        </is>
      </c>
      <c r="M43" s="70" t="n"/>
      <c r="N43" s="70" t="inlineStr">
        <is>
          <t>Not Started</t>
        </is>
      </c>
      <c r="O43" s="70" t="n"/>
    </row>
    <row r="44">
      <c r="A44" s="70" t="n">
        <v>43</v>
      </c>
      <c r="B44" s="70" t="inlineStr">
        <is>
          <t>WS2 — WS 2: Financial Awards &amp; Rewards</t>
        </is>
      </c>
      <c r="C44" s="70" t="inlineStr">
        <is>
          <t>E-WS2.3</t>
        </is>
      </c>
      <c r="D44" s="70" t="inlineStr">
        <is>
          <t>QR Codes and Open Grants</t>
        </is>
      </c>
      <c r="E44" s="70" t="inlineStr">
        <is>
          <t>QR code grant expires before use</t>
        </is>
      </c>
      <c r="F44" s="70" t="inlineStr">
        <is>
          <t>A QR code grant reaches its expiry before being redeemed. Grant transitions to EXPIRED. Redemption attempts return an expired error.</t>
        </is>
      </c>
      <c r="G44" s="70" t="inlineStr">
        <is>
          <t>J-GC-8</t>
        </is>
      </c>
      <c r="H44" s="70" t="inlineStr">
        <is>
          <t>AC: [Author TBD] Write Given/When/Then for happy path + edge cases.
    - Happy path: …
    - Edge case 1: …
    - Edge case 2: …
Definition of Ready: at least 2 ACs written and 0 unresolved Decision Log items.</t>
        </is>
      </c>
      <c r="I44" s="70" t="n"/>
      <c r="J44" s="70" t="inlineStr">
        <is>
          <t>Beta</t>
        </is>
      </c>
      <c r="K44" s="70" t="inlineStr">
        <is>
          <t>Grant</t>
        </is>
      </c>
      <c r="L44" s="70" t="inlineStr">
        <is>
          <t>No</t>
        </is>
      </c>
      <c r="M44" s="70" t="n"/>
      <c r="N44" s="70" t="inlineStr">
        <is>
          <t>Not Started</t>
        </is>
      </c>
      <c r="O44" s="70" t="n"/>
    </row>
    <row r="45">
      <c r="A45" s="70" t="n">
        <v>44</v>
      </c>
      <c r="B45" s="70" t="inlineStr">
        <is>
          <t>WS13 — WS 13: Marketing &amp; Communications</t>
        </is>
      </c>
      <c r="C45" s="70" t="inlineStr">
        <is>
          <t>E-WS13.1</t>
        </is>
      </c>
      <c r="D45" s="70" t="inlineStr">
        <is>
          <t>Notifications</t>
        </is>
      </c>
      <c r="E45" s="70" t="inlineStr">
        <is>
          <t>Tier upgrade — welcome email triggered</t>
        </is>
      </c>
      <c r="F45" s="70" t="inlineStr">
        <is>
          <t>A tier upgrade event flows through the consumption log. CRM team consumes the event from the stream and sends a welcome-to-Pro email and SMS.</t>
        </is>
      </c>
      <c r="G45" s="70" t="inlineStr">
        <is>
          <t>MC-TRN-2, MC-TRN-3</t>
        </is>
      </c>
      <c r="H45" s="70" t="inlineStr">
        <is>
          <t>AC: [Author TBD] Write Given/When/Then for happy path + edge cases.
    - Happy path: …
    - Edge case 1: …
    - Edge case 2: …
Definition of Ready: at least 2 ACs written and 0 unresolved Decision Log items.</t>
        </is>
      </c>
      <c r="I45" s="70" t="inlineStr">
        <is>
          <t>CRM team owns notification delivery. Loyalty emits events only.</t>
        </is>
      </c>
      <c r="J45" s="70" t="inlineStr">
        <is>
          <t>Beta</t>
        </is>
      </c>
      <c r="K45" s="70" t="inlineStr">
        <is>
          <t>System</t>
        </is>
      </c>
      <c r="L45" s="70" t="inlineStr">
        <is>
          <t>No</t>
        </is>
      </c>
      <c r="M45" s="70" t="n"/>
      <c r="N45" s="70" t="inlineStr">
        <is>
          <t>Not Started</t>
        </is>
      </c>
      <c r="O45" s="70" t="n"/>
    </row>
    <row r="46">
      <c r="A46" s="70" t="n">
        <v>45</v>
      </c>
      <c r="B46" s="70" t="inlineStr">
        <is>
          <t>WS13 — WS 13: Marketing &amp; Communications</t>
        </is>
      </c>
      <c r="C46" s="70" t="inlineStr">
        <is>
          <t>E-WS13.1</t>
        </is>
      </c>
      <c r="D46" s="70" t="inlineStr">
        <is>
          <t>Notifications</t>
        </is>
      </c>
      <c r="E46" s="70" t="inlineStr">
        <is>
          <t>Benefit expiry reminder</t>
        </is>
      </c>
      <c r="F46" s="70" t="inlineStr">
        <is>
          <t>A benefit is approaching its expiry date. CRM team consumes a near-expiry event and sends a reminder to the account Primary.</t>
        </is>
      </c>
      <c r="G46" s="70" t="inlineStr">
        <is>
          <t>R-GC-5, MC-TRN-2, MC-TRN-3</t>
        </is>
      </c>
      <c r="H46" s="70" t="inlineStr">
        <is>
          <t>AC: [Author TBD] Write Given/When/Then for happy path + edge cases.
    - Happy path: …
    - Edge case 1: …
    - Edge case 2: …
Definition of Ready: at least 2 ACs written and 0 unresolved Decision Log items.</t>
        </is>
      </c>
      <c r="I46" s="70" t="inlineStr">
        <is>
          <t>Near-expiry event shape TBD.</t>
        </is>
      </c>
      <c r="J46" s="70" t="inlineStr">
        <is>
          <t>Full Launch</t>
        </is>
      </c>
      <c r="K46" s="70" t="inlineStr">
        <is>
          <t>System</t>
        </is>
      </c>
      <c r="L46" s="70" t="inlineStr">
        <is>
          <t>No</t>
        </is>
      </c>
      <c r="M46" s="70" t="n"/>
      <c r="N46" s="70" t="inlineStr">
        <is>
          <t>Not Started</t>
        </is>
      </c>
      <c r="O46" s="70" t="n"/>
    </row>
    <row r="47">
      <c r="A47" s="70" t="n">
        <v>46</v>
      </c>
      <c r="B47" s="70" t="inlineStr">
        <is>
          <t>WS13 — WS 13: Marketing &amp; Communications</t>
        </is>
      </c>
      <c r="C47" s="70" t="inlineStr">
        <is>
          <t>E-WS13.1</t>
        </is>
      </c>
      <c r="D47" s="70" t="inlineStr">
        <is>
          <t>Notifications</t>
        </is>
      </c>
      <c r="E47" s="70" t="inlineStr">
        <is>
          <t>New benefit issued — notification sent</t>
        </is>
      </c>
      <c r="F47" s="70" t="inlineStr">
        <is>
          <t>A new benefit is issued to an account. CRM team consumes the BENEFIT_ISSUED event and notifies the account Primary.</t>
        </is>
      </c>
      <c r="G47" s="70" t="inlineStr">
        <is>
          <t>MC-TRN-2, MC-TRN-3</t>
        </is>
      </c>
      <c r="H47" s="70" t="inlineStr">
        <is>
          <t>AC: [Author TBD] Write Given/When/Then for happy path + edge cases.
    - Happy path: …
    - Edge case 1: …
    - Edge case 2: …
Definition of Ready: at least 2 ACs written and 0 unresolved Decision Log items.</t>
        </is>
      </c>
      <c r="I47" s="70" t="n"/>
      <c r="J47" s="70" t="inlineStr">
        <is>
          <t>Beta</t>
        </is>
      </c>
      <c r="K47" s="70" t="inlineStr">
        <is>
          <t>System</t>
        </is>
      </c>
      <c r="L47" s="70" t="inlineStr">
        <is>
          <t>No</t>
        </is>
      </c>
      <c r="M47" s="70" t="n"/>
      <c r="N47" s="70" t="inlineStr">
        <is>
          <t>Not Started</t>
        </is>
      </c>
      <c r="O47" s="70" t="n"/>
    </row>
    <row r="48">
      <c r="A48" s="70" t="n">
        <v>47</v>
      </c>
      <c r="B48" s="70" t="inlineStr">
        <is>
          <t>WS9 — WS 9: Finance &amp; Oracle ERP Integration</t>
        </is>
      </c>
      <c r="C48" s="70" t="inlineStr">
        <is>
          <t>E-WS9.3</t>
        </is>
      </c>
      <c r="D48" s="70" t="inlineStr">
        <is>
          <t>Operational and Admin</t>
        </is>
      </c>
      <c r="E48" s="70" t="inlineStr">
        <is>
          <t>Audit all benefit activity for an account</t>
        </is>
      </c>
      <c r="F48" s="70" t="inlineStr">
        <is>
          <t>An operator queries the full consumption log history for an account. Used for dispute resolution and customer care.</t>
        </is>
      </c>
      <c r="G48" s="70" t="inlineStr">
        <is>
          <t>FA-ACT-4, CRM-KPI-9</t>
        </is>
      </c>
      <c r="H48" s="70" t="inlineStr">
        <is>
          <t>AC: [Author TBD] Write Given/When/Then for happy path + edge cases.
    - Happy path: …
    - Edge case 1: …
    - Edge case 2: …
Definition of Ready: at least 2 ACs written and 0 unresolved Decision Log items.</t>
        </is>
      </c>
      <c r="I48" s="70" t="inlineStr">
        <is>
          <t>GET /api/v1/events?account_id={id} on the consumption log.</t>
        </is>
      </c>
      <c r="J48" s="70" t="inlineStr">
        <is>
          <t>Beta</t>
        </is>
      </c>
      <c r="K48" s="70" t="inlineStr">
        <is>
          <t>System</t>
        </is>
      </c>
      <c r="L48" s="70" t="inlineStr">
        <is>
          <t>No</t>
        </is>
      </c>
      <c r="M48" s="70" t="n"/>
      <c r="N48" s="70" t="inlineStr">
        <is>
          <t>Not Started</t>
        </is>
      </c>
      <c r="O48" s="70" t="n"/>
    </row>
    <row r="49">
      <c r="A49" s="70" t="n">
        <v>48</v>
      </c>
      <c r="B49" s="70" t="inlineStr">
        <is>
          <t>WS1 — WS 1: Core Loyalty Engine — Member, Tier &amp; Ledger</t>
        </is>
      </c>
      <c r="C49" s="70" t="inlineStr">
        <is>
          <t>E-WS1.4</t>
        </is>
      </c>
      <c r="D49" s="70" t="inlineStr">
        <is>
          <t>Operational and Admin</t>
        </is>
      </c>
      <c r="E49" s="70" t="inlineStr">
        <is>
          <t>Time-travel query — what did an account have on date X</t>
        </is>
      </c>
      <c r="F49" s="70" t="inlineStr">
        <is>
          <t>An operator queries what benefits an account had on a specific past date. Rule engine evaluates as-of that timestamp using rules effective at that time.</t>
        </is>
      </c>
      <c r="G49" s="70" t="inlineStr">
        <is>
          <t>CRM-KPI-9</t>
        </is>
      </c>
      <c r="H49" s="70" t="inlineStr">
        <is>
          <t>AC: [Author TBD] Write Given/When/Then for happy path + edge cases.
    - Happy path: …
    - Edge case 1: …
    - Edge case 2: …
Definition of Ready: at least 2 ACs written and 0 unresolved Decision Log items.</t>
        </is>
      </c>
      <c r="I49" s="70" t="inlineStr">
        <is>
          <t>GET /api/v1/evaluate/account/{id}?as_of={timestamp}</t>
        </is>
      </c>
      <c r="J49" s="70" t="inlineStr">
        <is>
          <t>Full Launch</t>
        </is>
      </c>
      <c r="K49" s="70" t="inlineStr">
        <is>
          <t>System</t>
        </is>
      </c>
      <c r="L49" s="70" t="inlineStr">
        <is>
          <t>No</t>
        </is>
      </c>
      <c r="M49" s="70" t="n"/>
      <c r="N49" s="70" t="inlineStr">
        <is>
          <t>Not Started</t>
        </is>
      </c>
      <c r="O49" s="70" t="n"/>
    </row>
    <row r="50">
      <c r="A50" s="70" t="n">
        <v>49</v>
      </c>
      <c r="B50" s="70" t="inlineStr">
        <is>
          <t>WS4 — WS 4: Program Configuration &amp; Business Rules</t>
        </is>
      </c>
      <c r="C50" s="70" t="inlineStr">
        <is>
          <t>E-WS4.1</t>
        </is>
      </c>
      <c r="D50" s="70" t="inlineStr">
        <is>
          <t>Operational and Admin</t>
        </is>
      </c>
      <c r="E50" s="70" t="inlineStr">
        <is>
          <t>Rule created, reviewed, and activated</t>
        </is>
      </c>
      <c r="F50" s="70" t="inlineStr">
        <is>
          <t>An operator creates a new benefit rule. Rule goes through draft → reviewed → active workflow before taking effect.</t>
        </is>
      </c>
      <c r="G50" s="70" t="inlineStr">
        <is>
          <t>S-2, PR-BP-7</t>
        </is>
      </c>
      <c r="H50" s="70" t="inlineStr">
        <is>
          <t>AC: [Author TBD] Write Given/When/Then for happy path + edge cases.
    - Happy path: …
    - Edge case 1: …
    - Edge case 2: …
Definition of Ready: at least 2 ACs written and 0 unresolved Decision Log items.</t>
        </is>
      </c>
      <c r="I50" s="70" t="inlineStr">
        <is>
          <t>Rule workflow TBD. Dry-run mode should show projected impact before activation.</t>
        </is>
      </c>
      <c r="J50" s="70" t="inlineStr">
        <is>
          <t>Full Launch</t>
        </is>
      </c>
      <c r="K50" s="70" t="inlineStr">
        <is>
          <t>System</t>
        </is>
      </c>
      <c r="L50" s="70" t="inlineStr">
        <is>
          <t>No</t>
        </is>
      </c>
      <c r="M50" s="70" t="n"/>
      <c r="N50" s="70" t="inlineStr">
        <is>
          <t>Not Started</t>
        </is>
      </c>
      <c r="O50" s="70" t="n"/>
    </row>
    <row r="51">
      <c r="A51" s="70" t="n">
        <v>50</v>
      </c>
      <c r="B51" s="70" t="inlineStr">
        <is>
          <t>WS4 — WS 4: Program Configuration &amp; Business Rules</t>
        </is>
      </c>
      <c r="C51" s="70" t="inlineStr">
        <is>
          <t>E-WS4.1</t>
        </is>
      </c>
      <c r="D51" s="70" t="inlineStr">
        <is>
          <t>Operational and Admin</t>
        </is>
      </c>
      <c r="E51" s="70" t="inlineStr">
        <is>
          <t>Rule retired — existing benefits honored</t>
        </is>
      </c>
      <c r="F51" s="70" t="inlineStr">
        <is>
          <t>An operator retires a rule (e.g. discontinues free coffee benefit). Existing issued benefits remain valid until their individual expiry. No new issuances.</t>
        </is>
      </c>
      <c r="G51" s="70" t="inlineStr">
        <is>
          <t>S-2</t>
        </is>
      </c>
      <c r="H51" s="70" t="inlineStr">
        <is>
          <t>AC: [Author TBD] Write Given/When/Then for happy path + edge cases.
    - Happy path: …
    - Edge case 1: …
    - Edge case 2: …
Definition of Ready: at least 2 ACs written and 0 unresolved Decision Log items.</t>
        </is>
      </c>
      <c r="I51" s="70" t="n"/>
      <c r="J51" s="70" t="inlineStr">
        <is>
          <t>Full Launch</t>
        </is>
      </c>
      <c r="K51" s="70" t="inlineStr">
        <is>
          <t>System</t>
        </is>
      </c>
      <c r="L51" s="70" t="inlineStr">
        <is>
          <t>No</t>
        </is>
      </c>
      <c r="M51" s="70" t="n"/>
      <c r="N51" s="70" t="inlineStr">
        <is>
          <t>Not Started</t>
        </is>
      </c>
      <c r="O51" s="70" t="n"/>
    </row>
    <row r="52">
      <c r="A52" s="70" t="n">
        <v>51</v>
      </c>
      <c r="B52" s="70" t="inlineStr">
        <is>
          <t>WS4 — WS 4: Program Configuration &amp; Business Rules</t>
        </is>
      </c>
      <c r="C52" s="70" t="inlineStr">
        <is>
          <t>E-WS4.1</t>
        </is>
      </c>
      <c r="D52" s="70" t="inlineStr">
        <is>
          <t>Operational and Admin</t>
        </is>
      </c>
      <c r="E52" s="70" t="inlineStr">
        <is>
          <t>Bulk re-projection after rule change</t>
        </is>
      </c>
      <c r="F52" s="70" t="inlineStr">
        <is>
          <t>A tier threshold change affects all Pro accounts. Rule engine triggers bulk re-projection for all affected accounts. Job is resumable and idempotent.</t>
        </is>
      </c>
      <c r="G52" s="70" t="inlineStr">
        <is>
          <t>S-2, PR-BP-7</t>
        </is>
      </c>
      <c r="H52" s="70" t="inlineStr">
        <is>
          <t>AC: [Author TBD] Write Given/When/Then for happy path + edge cases.
    - Happy path: …
    - Edge case 1: …
    - Edge case 2: …
Definition of Ready: at least 2 ACs written and 0 unresolved Decision Log items.</t>
        </is>
      </c>
      <c r="I52" s="70" t="inlineStr">
        <is>
          <t>Large batch job at scale (600K+ accounts per CENT-362 estimates). Needs chunked, resumable implementation.</t>
        </is>
      </c>
      <c r="J52" s="70" t="inlineStr">
        <is>
          <t>Full Launch</t>
        </is>
      </c>
      <c r="K52" s="70" t="inlineStr">
        <is>
          <t>System</t>
        </is>
      </c>
      <c r="L52" s="70" t="inlineStr">
        <is>
          <t>No</t>
        </is>
      </c>
      <c r="M52" s="70" t="n"/>
      <c r="N52" s="70" t="inlineStr">
        <is>
          <t>Not Started</t>
        </is>
      </c>
      <c r="O52" s="70" t="n"/>
    </row>
    <row r="53">
      <c r="A53" s="70" t="n">
        <v>52</v>
      </c>
      <c r="B53" s="70" t="inlineStr">
        <is>
          <t>WS1 — WS 1: Core Loyalty Engine — Member, Tier &amp; Ledger</t>
        </is>
      </c>
      <c r="C53" s="70" t="inlineStr">
        <is>
          <t>E-WS1.4</t>
        </is>
      </c>
      <c r="D53" s="70" t="inlineStr">
        <is>
          <t>Operational and Admin</t>
        </is>
      </c>
      <c r="E53" s="70" t="inlineStr">
        <is>
          <t>Projection corrupted — rebuilt from log</t>
        </is>
      </c>
      <c r="F53" s="70" t="inlineStr">
        <is>
          <t>The benefits projection for an account (or all accounts) becomes corrupted or out of sync. Projection is discarded and rebuilt from the consumption log.</t>
        </is>
      </c>
      <c r="G53" s="70" t="inlineStr">
        <is>
          <t>System reliability — no specific business rule</t>
        </is>
      </c>
      <c r="H53" s="70" t="inlineStr">
        <is>
          <t>AC: [Author TBD] Write Given/When/Then for happy path + edge cases.
    - Happy path: …
    - Edge case 1: …
    - Edge case 2: …
Definition of Ready: at least 2 ACs written and 0 unresolved Decision Log items.</t>
        </is>
      </c>
      <c r="I53" s="70" t="inlineStr">
        <is>
          <t>POST /api/v1/reproject/account/{id}</t>
        </is>
      </c>
      <c r="J53" s="70" t="inlineStr">
        <is>
          <t>Beta</t>
        </is>
      </c>
      <c r="K53" s="70" t="inlineStr">
        <is>
          <t>System</t>
        </is>
      </c>
      <c r="L53" s="70" t="inlineStr">
        <is>
          <t>No</t>
        </is>
      </c>
      <c r="M53" s="70" t="n"/>
      <c r="N53" s="70" t="inlineStr">
        <is>
          <t>Not Started</t>
        </is>
      </c>
      <c r="O53" s="70" t="n"/>
    </row>
    <row r="54">
      <c r="A54" s="70" t="n">
        <v>53</v>
      </c>
      <c r="B54" s="70" t="inlineStr">
        <is>
          <t>WS17 — WS 17: Security &amp; Identity</t>
        </is>
      </c>
      <c r="C54" s="70" t="inlineStr">
        <is>
          <t>E-WS17.3</t>
        </is>
      </c>
      <c r="D54" s="70" t="inlineStr">
        <is>
          <t>Operational and Admin</t>
        </is>
      </c>
      <c r="E54" s="70" t="inlineStr">
        <is>
          <t>POS adapter system key rotated</t>
        </is>
      </c>
      <c r="F54" s="70" t="inlineStr">
        <is>
          <t>The signing key used by the POS adapter to sign TRANSACTION_OBSERVED events is rotated in fnd-identity. Old key retired. New events use the new key.</t>
        </is>
      </c>
      <c r="G54" s="70" t="inlineStr">
        <is>
          <t>System security — no specific business rule</t>
        </is>
      </c>
      <c r="H54" s="70" t="inlineStr">
        <is>
          <t>AC: [Author TBD] Write Given/When/Then for happy path + edge cases.
    - Happy path: …
    - Edge case 1: …
    - Edge case 2: …
Definition of Ready: at least 2 ACs written and 0 unresolved Decision Log items.</t>
        </is>
      </c>
      <c r="I54" s="70" t="n"/>
      <c r="J54" s="70" t="inlineStr">
        <is>
          <t>Beta</t>
        </is>
      </c>
      <c r="K54" s="70" t="inlineStr">
        <is>
          <t>System</t>
        </is>
      </c>
      <c r="L54" s="70" t="inlineStr">
        <is>
          <t>No</t>
        </is>
      </c>
      <c r="M54" s="70" t="n"/>
      <c r="N54" s="70" t="inlineStr">
        <is>
          <t>Not Started</t>
        </is>
      </c>
      <c r="O54" s="70" t="n"/>
    </row>
    <row r="55">
      <c r="A55" s="70" t="n">
        <v>54</v>
      </c>
      <c r="B55" s="70" t="inlineStr">
        <is>
          <t>WS2 — WS 2: Financial Awards &amp; Rewards</t>
        </is>
      </c>
      <c r="C55" s="70" t="inlineStr">
        <is>
          <t>E-WS2.6</t>
        </is>
      </c>
      <c r="D55" s="70" t="inlineStr">
        <is>
          <t>Financial Award</t>
        </is>
      </c>
      <c r="E55" s="70" t="inlineStr">
        <is>
          <t>Choice benefit selection — rebate vs. F&amp;D Bucks</t>
        </is>
      </c>
      <c r="F55" s="70" t="inlineStr">
        <is>
          <t>At entry into a new tier where a choice benefit is offered, a Pro member selects between a cash rebate or F&amp;D Bucks (Amps) within 30 days. Selection stored against the account.</t>
        </is>
      </c>
      <c r="G55" s="70" t="inlineStr">
        <is>
          <t>J-CR-1, J-CR-2</t>
        </is>
      </c>
      <c r="H55" s="70" t="inlineStr">
        <is>
          <t>AC: [Author TBD] Write Given/When/Then for happy path + edge cases.
    - Happy path: …
    - Edge case 1: …
    - Edge case 2: …
Definition of Ready: at least 2 ACs written and 0 unresolved Decision Log items.</t>
        </is>
      </c>
      <c r="I55" s="70" t="inlineStr">
        <is>
          <t>Must default to F&amp;D Bucks if no selection made within 30-day window. Business rules for eligible tiers TBD.</t>
        </is>
      </c>
      <c r="J55" s="70" t="inlineStr">
        <is>
          <t>Beta</t>
        </is>
      </c>
      <c r="K55" s="70" t="inlineStr">
        <is>
          <t>Relationship</t>
        </is>
      </c>
      <c r="L55" s="70" t="inlineStr">
        <is>
          <t>No</t>
        </is>
      </c>
      <c r="M55" s="70" t="n"/>
      <c r="N55" s="70" t="inlineStr">
        <is>
          <t>Not Started</t>
        </is>
      </c>
      <c r="O55" s="70" t="n"/>
    </row>
    <row r="56">
      <c r="A56" s="70" t="n">
        <v>55</v>
      </c>
      <c r="B56" s="70" t="inlineStr">
        <is>
          <t>WS2 — WS 2: Financial Awards &amp; Rewards</t>
        </is>
      </c>
      <c r="C56" s="70" t="inlineStr">
        <is>
          <t>E-WS2.6</t>
        </is>
      </c>
      <c r="D56" s="70" t="inlineStr">
        <is>
          <t>Financial Award</t>
        </is>
      </c>
      <c r="E56" s="70" t="inlineStr">
        <is>
          <t>Choice benefit defaults to F&amp;D Bucks — window expired</t>
        </is>
      </c>
      <c r="F56" s="70" t="inlineStr">
        <is>
          <t>A Pro member does not make a financial award selection within 30 days of tier entry. System automatically defaults the account to F&amp;D Bucks.</t>
        </is>
      </c>
      <c r="G56" s="70" t="inlineStr">
        <is>
          <t>J-CR-3</t>
        </is>
      </c>
      <c r="H56" s="70" t="inlineStr">
        <is>
          <t>AC: [Author TBD] Write Given/When/Then for happy path + edge cases.
    - Happy path: …
    - Edge case 1: …
    - Edge case 2: …
Definition of Ready: at least 2 ACs written and 0 unresolved Decision Log items.</t>
        </is>
      </c>
      <c r="I56" s="70" t="inlineStr">
        <is>
          <t>Requires a scheduled job or event trigger at day 30. Communication to member before deadline — see Notifications.</t>
        </is>
      </c>
      <c r="J56" s="70" t="inlineStr">
        <is>
          <t>Beta</t>
        </is>
      </c>
      <c r="K56" s="70" t="inlineStr">
        <is>
          <t>System</t>
        </is>
      </c>
      <c r="L56" s="70" t="inlineStr">
        <is>
          <t>No</t>
        </is>
      </c>
      <c r="M56" s="70" t="n"/>
      <c r="N56" s="70" t="inlineStr">
        <is>
          <t>Not Started</t>
        </is>
      </c>
      <c r="O56" s="70" t="n"/>
    </row>
    <row r="57">
      <c r="A57" s="70" t="n">
        <v>56</v>
      </c>
      <c r="B57" s="70" t="inlineStr">
        <is>
          <t>MP — MyProject Modifications / Integrations</t>
        </is>
      </c>
      <c r="C57" s="70" t="inlineStr">
        <is>
          <t>E-MP.2</t>
        </is>
      </c>
      <c r="D57" s="70" t="inlineStr">
        <is>
          <t>Financial Award</t>
        </is>
      </c>
      <c r="E57" s="70" t="inlineStr">
        <is>
          <t>Digital wallet — accrual from all contacts displayed</t>
        </is>
      </c>
      <c r="F57" s="70" t="inlineStr">
        <is>
          <t>The digital wallet consolidates financial award accrual from all Contacts tied to an account and displays available awards to the Pro member in the Pro App and website.</t>
        </is>
      </c>
      <c r="G57" s="70" t="inlineStr">
        <is>
          <t>CRM-AS-12, E-OA-3, J-GC-7, M-GC-1, M-CR-1, M-CR-7, E-OA-2, M-GC-7</t>
        </is>
      </c>
      <c r="H57" s="70" t="inlineStr">
        <is>
          <t>AC: [Author TBD] Write Given/When/Then for happy path + edge cases.
    - Happy path: …
    - Edge case 1: …
    - Edge case 2: …
Definition of Ready: at least 2 ACs written and 0 unresolved Decision Log items.</t>
        </is>
      </c>
      <c r="I57" s="70" t="inlineStr">
        <is>
          <t>BIY spend must be excluded from financial award accrual. Wallet balance must reflect all contacts' qualifying spend.</t>
        </is>
      </c>
      <c r="J57" s="70" t="inlineStr">
        <is>
          <t>Beta</t>
        </is>
      </c>
      <c r="K57" s="70" t="inlineStr">
        <is>
          <t>Relationship</t>
        </is>
      </c>
      <c r="L57" s="70" t="inlineStr">
        <is>
          <t>No</t>
        </is>
      </c>
      <c r="M57" s="70" t="n"/>
      <c r="N57" s="70" t="inlineStr">
        <is>
          <t>Not Started</t>
        </is>
      </c>
      <c r="O57" s="70" t="n"/>
    </row>
    <row r="58">
      <c r="A58" s="70" t="n">
        <v>57</v>
      </c>
      <c r="B58" s="70" t="inlineStr">
        <is>
          <t>WS2 — WS 2: Financial Awards &amp; Rewards</t>
        </is>
      </c>
      <c r="C58" s="70" t="inlineStr">
        <is>
          <t>E-WS2.2</t>
        </is>
      </c>
      <c r="D58" s="70" t="inlineStr">
        <is>
          <t>Financial Award</t>
        </is>
      </c>
      <c r="E58" s="70" t="inlineStr">
        <is>
          <t>Pro member redeems F&amp;D Bucks (Amps) from digital wallet</t>
        </is>
      </c>
      <c r="F58" s="70" t="inlineStr">
        <is>
          <t>A Pro member uses accumulated F&amp;D Bucks from their digital wallet at POS, on the website, or in the Pro App.</t>
        </is>
      </c>
      <c r="G58" s="70" t="inlineStr">
        <is>
          <t>E-GC-5, R-GC-1, R-GC-7, M-CR-7</t>
        </is>
      </c>
      <c r="H58" s="70" t="inlineStr">
        <is>
          <t>AC: [Author TBD] Write Given/When/Then for happy path + edge cases.
    - Happy path: …
    - Edge case 1: …
    - Edge case 2: …
Definition of Ready: at least 2 ACs written and 0 unresolved Decision Log items.</t>
        </is>
      </c>
      <c r="I58" s="70" t="inlineStr">
        <is>
          <t>Redemption flow must be supported across all three surfaces for Beta.</t>
        </is>
      </c>
      <c r="J58" s="70" t="inlineStr">
        <is>
          <t>Beta</t>
        </is>
      </c>
      <c r="K58" s="70" t="inlineStr">
        <is>
          <t>Relationship</t>
        </is>
      </c>
      <c r="L58" s="70" t="inlineStr">
        <is>
          <t>Yes</t>
        </is>
      </c>
      <c r="M58" s="70" t="n"/>
      <c r="N58" s="70" t="inlineStr">
        <is>
          <t>Not Started</t>
        </is>
      </c>
      <c r="O58" s="70" t="n"/>
    </row>
    <row r="59">
      <c r="A59" s="70" t="n">
        <v>58</v>
      </c>
      <c r="B59" s="70" t="inlineStr">
        <is>
          <t>WS3 — WS 3: Transaction &amp; Spend Ingestion</t>
        </is>
      </c>
      <c r="C59" s="70" t="inlineStr">
        <is>
          <t>E-WS3.1</t>
        </is>
      </c>
      <c r="D59" s="70" t="inlineStr">
        <is>
          <t>Financial Award</t>
        </is>
      </c>
      <c r="E59" s="70" t="inlineStr">
        <is>
          <t>BIY spend contributes to tier but excluded from financial award</t>
        </is>
      </c>
      <c r="F59" s="70" t="inlineStr">
        <is>
          <t>A transaction is tagged as Buy-It-Yourself (BIY) spend. Rule engine includes it in tier qualification aggregates but excludes it from rebate and F&amp;D Buck accrual.</t>
        </is>
      </c>
      <c r="G59" s="70" t="inlineStr">
        <is>
          <t>Open question — BIY exclusion not in source docs</t>
        </is>
      </c>
      <c r="H59" s="70" t="inlineStr">
        <is>
          <t>AC: [Author TBD] Write Given/When/Then for happy path + edge cases.
    - Happy path: …
    - Edge case 1: …
    - Edge case 2: …
Definition of Ready: at least 2 ACs written and 0 unresolved Decision Log items.</t>
        </is>
      </c>
      <c r="I59" s="70" t="inlineStr">
        <is>
          <t>BIY vs. Pro spend differentiation must be tagged at transaction level. Treatment of BIY to be confirmed with financial award working team.</t>
        </is>
      </c>
      <c r="J59" s="70" t="inlineStr">
        <is>
          <t>Beta</t>
        </is>
      </c>
      <c r="K59" s="70" t="inlineStr">
        <is>
          <t>System</t>
        </is>
      </c>
      <c r="L59" s="70" t="inlineStr">
        <is>
          <t>No</t>
        </is>
      </c>
      <c r="M59" s="70" t="n"/>
      <c r="N59" s="70" t="inlineStr">
        <is>
          <t>Not Started</t>
        </is>
      </c>
      <c r="O59" s="70" t="n"/>
    </row>
    <row r="60">
      <c r="A60" s="70" t="n">
        <v>59</v>
      </c>
      <c r="B60" s="70" t="inlineStr">
        <is>
          <t>WS9 — WS 9: Finance &amp; Oracle ERP Integration</t>
        </is>
      </c>
      <c r="C60" s="70" t="inlineStr">
        <is>
          <t>E-WS9.2</t>
        </is>
      </c>
      <c r="D60" s="70" t="inlineStr">
        <is>
          <t>Financial Award</t>
        </is>
      </c>
      <c r="E60" s="70" t="inlineStr">
        <is>
          <t>Loyalty engine generates rebate / liability file for Finance</t>
        </is>
      </c>
      <c r="F60" s="70" t="inlineStr">
        <is>
          <t>At defined intervals, the loyalty engine generates rebate and liability files and integrates with Oracle to support financial reporting, liability tracking, and payout approval.</t>
        </is>
      </c>
      <c r="G60" s="70" t="inlineStr">
        <is>
          <t>FA-ACT-6, FA-ACT-7</t>
        </is>
      </c>
      <c r="H60" s="70" t="inlineStr">
        <is>
          <t>AC: [Author TBD] Write Given/When/Then for happy path + edge cases.
    - Happy path: …
    - Edge case 1: …
    - Edge case 2: …
Definition of Ready: at least 2 ACs written and 0 unresolved Decision Log items.</t>
        </is>
      </c>
      <c r="I60" s="70" t="inlineStr">
        <is>
          <t>Extent of Oracle integration TBD — pending conversation with Zachary Pion.</t>
        </is>
      </c>
      <c r="J60" s="70" t="inlineStr">
        <is>
          <t>Beta</t>
        </is>
      </c>
      <c r="K60" s="70" t="inlineStr">
        <is>
          <t>System</t>
        </is>
      </c>
      <c r="L60" s="70" t="inlineStr">
        <is>
          <t>No</t>
        </is>
      </c>
      <c r="M60" s="70" t="n"/>
      <c r="N60" s="70" t="inlineStr">
        <is>
          <t>Not Started</t>
        </is>
      </c>
      <c r="O60" s="70" t="n"/>
    </row>
    <row r="61">
      <c r="A61" s="70" t="n">
        <v>60</v>
      </c>
      <c r="B61" s="70" t="inlineStr">
        <is>
          <t>WS2 — WS 2: Financial Awards &amp; Rewards</t>
        </is>
      </c>
      <c r="C61" s="70" t="inlineStr">
        <is>
          <t>E-WS2.3</t>
        </is>
      </c>
      <c r="D61" s="70" t="inlineStr">
        <is>
          <t>Financial Award</t>
        </is>
      </c>
      <c r="E61" s="70" t="inlineStr">
        <is>
          <t>F&amp;D Bucks expiry enforced</t>
        </is>
      </c>
      <c r="F61" s="70" t="inlineStr">
        <is>
          <t>F&amp;D Bucks that have not been used within the defined expiry period are invalidated. Rule for expiry (date of distribution, period of inactivity, etc.) to be determined and signed off by Legal.</t>
        </is>
      </c>
      <c r="G61" s="70" t="inlineStr">
        <is>
          <t>R-GC-5</t>
        </is>
      </c>
      <c r="H61" s="70" t="inlineStr">
        <is>
          <t>AC: [Author TBD] Write Given/When/Then for happy path + edge cases.
    - Happy path: …
    - Edge case 1: …
    - Edge case 2: …
Definition of Ready: at least 2 ACs written and 0 unresolved Decision Log items.</t>
        </is>
      </c>
      <c r="I61" s="70" t="inlineStr">
        <is>
          <t>Expiry rule not yet defined. Must be confirmed before Full Launch.</t>
        </is>
      </c>
      <c r="J61" s="70" t="inlineStr">
        <is>
          <t>Full Launch</t>
        </is>
      </c>
      <c r="K61" s="70" t="inlineStr">
        <is>
          <t>System</t>
        </is>
      </c>
      <c r="L61" s="70" t="inlineStr">
        <is>
          <t>No</t>
        </is>
      </c>
      <c r="M61" s="70" t="n"/>
      <c r="N61" s="70" t="inlineStr">
        <is>
          <t>Not Started</t>
        </is>
      </c>
      <c r="O61" s="70" t="n"/>
    </row>
    <row r="62">
      <c r="A62" s="70" t="n">
        <v>61</v>
      </c>
      <c r="B62" s="70" t="inlineStr">
        <is>
          <t>WS9 — WS 9: Finance &amp; Oracle ERP Integration</t>
        </is>
      </c>
      <c r="C62" s="70" t="inlineStr">
        <is>
          <t>E-WS9.2</t>
        </is>
      </c>
      <c r="D62" s="70" t="inlineStr">
        <is>
          <t>Financial Award</t>
        </is>
      </c>
      <c r="E62" s="70" t="inlineStr">
        <is>
          <t>Rebate disbursement via third-party provider</t>
        </is>
      </c>
      <c r="F62" s="70" t="inlineStr">
        <is>
          <t>A Pro member who selected the rebate option receives their rebate payment via a third-party disbursement provider. Loyalty engine integrates with the provider; banking information is never stored.</t>
        </is>
      </c>
      <c r="G62" s="70" t="inlineStr">
        <is>
          <t>R-CR-3</t>
        </is>
      </c>
      <c r="H62" s="70" t="inlineStr">
        <is>
          <t>AC: [Author TBD] Write Given/When/Then for happy path + edge cases.
    - Happy path: …
    - Edge case 1: …
    - Edge case 2: …
Definition of Ready: at least 2 ACs written and 0 unresolved Decision Log items.</t>
        </is>
      </c>
      <c r="I62" s="70" t="inlineStr">
        <is>
          <t>Third-party provider not yet selected. Integration pending provider selection.</t>
        </is>
      </c>
      <c r="J62" s="70" t="inlineStr">
        <is>
          <t>Full Launch</t>
        </is>
      </c>
      <c r="K62" s="70" t="inlineStr">
        <is>
          <t>System</t>
        </is>
      </c>
      <c r="L62" s="70" t="inlineStr">
        <is>
          <t>No</t>
        </is>
      </c>
      <c r="M62" s="70" t="n"/>
      <c r="N62" s="70" t="inlineStr">
        <is>
          <t>Not Started</t>
        </is>
      </c>
      <c r="O62" s="70" t="n"/>
    </row>
    <row r="63">
      <c r="A63" s="70" t="n">
        <v>62</v>
      </c>
      <c r="B63" s="70" t="inlineStr">
        <is>
          <t>WS5 — WS 5: Offers &amp; Benefit Fulfillment (Delivery, Samples, Bid Room)</t>
        </is>
      </c>
      <c r="C63" s="70" t="inlineStr">
        <is>
          <t>E-WS5.1</t>
        </is>
      </c>
      <c r="D63" s="70" t="inlineStr">
        <is>
          <t>Delivery Benefit</t>
        </is>
      </c>
      <c r="E63" s="70" t="inlineStr">
        <is>
          <t>Free delivery benefit applied at checkout</t>
        </is>
      </c>
      <c r="F63" s="70" t="inlineStr">
        <is>
          <t>A Pro member with active free delivery entitlement completes an order with delivery. Delivery fee is waived. A unique transaction code is applied at POS to identify the benefit was used.</t>
        </is>
      </c>
      <c r="G63" s="70" t="inlineStr">
        <is>
          <t>D-EM-6, D-EM-7, SO-WF-6, D-S-2</t>
        </is>
      </c>
      <c r="H63" s="70" t="inlineStr">
        <is>
          <t>AC-1: GIVEN a Gold PRO with available delivery counter and eligible $2K+ order
       WHEN associate marks free delivery at POS
       THEN benefit is applied and counter decrements by 1 (or 0 for inter-store transfer)
AC-2: GIVEN PRO is below the $2K threshold (after edits/returns)
       WHEN benefit is applied
       THEN system blocks free delivery; paid delivery remains available
AC-3: GIVEN PRO is Platinum tier
       WHEN free delivery is applied
       THEN no counter exists (unlimited per program rules)</t>
        </is>
      </c>
      <c r="I63" s="70" t="inlineStr">
        <is>
          <t>Unique POS code required for tracking and finance reconciliation. Fulfillment uses existing delivery scheduling and store transfer processes.</t>
        </is>
      </c>
      <c r="J63" s="70" t="inlineStr">
        <is>
          <t>Beta</t>
        </is>
      </c>
      <c r="K63" s="70" t="inlineStr">
        <is>
          <t>Relationship</t>
        </is>
      </c>
      <c r="L63" s="70" t="inlineStr">
        <is>
          <t>Yes</t>
        </is>
      </c>
      <c r="M63" s="70" t="n"/>
      <c r="N63" s="70" t="inlineStr">
        <is>
          <t>Not Started</t>
        </is>
      </c>
      <c r="O63" s="70" t="n"/>
    </row>
    <row r="64">
      <c r="A64" s="70" t="n">
        <v>63</v>
      </c>
      <c r="B64" s="70" t="inlineStr">
        <is>
          <t>WS5 — WS 5: Offers &amp; Benefit Fulfillment (Delivery, Samples, Bid Room)</t>
        </is>
      </c>
      <c r="C64" s="70" t="inlineStr">
        <is>
          <t>E-WS5.1</t>
        </is>
      </c>
      <c r="D64" s="70" t="inlineStr">
        <is>
          <t>Delivery Benefit</t>
        </is>
      </c>
      <c r="E64" s="70" t="inlineStr">
        <is>
          <t>Delivery usage tracked by account</t>
        </is>
      </c>
      <c r="F64" s="70" t="inlineStr">
        <is>
          <t>Each time a free delivery benefit is consumed, usage is recorded against the Pro account. Visible in the Pro App and website.</t>
        </is>
      </c>
      <c r="G64" s="70" t="inlineStr">
        <is>
          <t>D-EM-3, D-EM-4</t>
        </is>
      </c>
      <c r="H64" s="70" t="inlineStr">
        <is>
          <t>AC: [Author TBD] Write Given/When/Then for happy path + edge cases.
    - Happy path: …
    - Edge case 1: …
    - Edge case 2: …
Definition of Ready: at least 2 ACs written and 0 unresolved Decision Log items.</t>
        </is>
      </c>
      <c r="I64" s="70" t="inlineStr">
        <is>
          <t>Usage tracking must be real-time or near-real-time per the beta requirements.</t>
        </is>
      </c>
      <c r="J64" s="70" t="inlineStr">
        <is>
          <t>Beta</t>
        </is>
      </c>
      <c r="K64" s="70" t="inlineStr">
        <is>
          <t>System</t>
        </is>
      </c>
      <c r="L64" s="70" t="inlineStr">
        <is>
          <t>No</t>
        </is>
      </c>
      <c r="M64" s="70" t="n"/>
      <c r="N64" s="70" t="inlineStr">
        <is>
          <t>Not Started</t>
        </is>
      </c>
      <c r="O64" s="70" t="n"/>
    </row>
    <row r="65">
      <c r="A65" s="70" t="n">
        <v>64</v>
      </c>
      <c r="B65" s="70" t="inlineStr">
        <is>
          <t>WS5 — WS 5: Offers &amp; Benefit Fulfillment (Delivery, Samples, Bid Room)</t>
        </is>
      </c>
      <c r="C65" s="70" t="inlineStr">
        <is>
          <t>E-WS5.1</t>
        </is>
      </c>
      <c r="D65" s="70" t="inlineStr">
        <is>
          <t>Delivery Benefit</t>
        </is>
      </c>
      <c r="E65" s="70" t="inlineStr">
        <is>
          <t>Delivery eligibility determined by tier and order thresholds</t>
        </is>
      </c>
      <c r="F65" s="70" t="inlineStr">
        <is>
          <t>System evaluates whether a Pro member is eligible for free delivery based on their current tier status and whether the order meets minimum thresholds.</t>
        </is>
      </c>
      <c r="G65" s="70" t="inlineStr">
        <is>
          <t>D-EM-3, D-EM-7, D-EM-9</t>
        </is>
      </c>
      <c r="H65" s="70" t="inlineStr">
        <is>
          <t>AC: [Author TBD] Write Given/When/Then for happy path + edge cases.
    - Happy path: …
    - Edge case 1: …
    - Edge case 2: …
Definition of Ready: at least 2 ACs written and 0 unresolved Decision Log items.</t>
        </is>
      </c>
      <c r="I65" s="70" t="inlineStr">
        <is>
          <t>Eligibility rules (tier, order minimums, usage limits) to be defined by the business.</t>
        </is>
      </c>
      <c r="J65" s="70" t="inlineStr">
        <is>
          <t>Full Launch</t>
        </is>
      </c>
      <c r="K65" s="70" t="inlineStr">
        <is>
          <t>Relationship</t>
        </is>
      </c>
      <c r="L65" s="70" t="inlineStr">
        <is>
          <t>Yes</t>
        </is>
      </c>
      <c r="M65" s="70" t="n"/>
      <c r="N65" s="70" t="inlineStr">
        <is>
          <t>Not Started</t>
        </is>
      </c>
      <c r="O65" s="70" t="n"/>
    </row>
    <row r="66">
      <c r="A66" s="70" t="n">
        <v>65</v>
      </c>
      <c r="B66" s="70" t="inlineStr">
        <is>
          <t>MP — MyProject Modifications / Integrations</t>
        </is>
      </c>
      <c r="C66" s="70" t="inlineStr">
        <is>
          <t>E-MP.3</t>
        </is>
      </c>
      <c r="D66" s="70" t="inlineStr">
        <is>
          <t>Delivery Benefit</t>
        </is>
      </c>
      <c r="E66" s="70" t="inlineStr">
        <is>
          <t>Pro-facing delivery scheduling in Pro App and website</t>
        </is>
      </c>
      <c r="F66" s="70" t="inlineStr">
        <is>
          <t>Pro members can view and schedule deliveries directly from the Pro App and website, with loyalty tier and benefit status informing available options.</t>
        </is>
      </c>
      <c r="G66" s="70" t="inlineStr">
        <is>
          <t>D-S-7, D-S-1 (note: source explicitly excludes in-app scheduling at launch — post-launch capability)</t>
        </is>
      </c>
      <c r="H66" s="70" t="inlineStr">
        <is>
          <t>AC: [Author TBD] Write Given/When/Then for happy path + edge cases.
    - Happy path: …
    - Edge case 1: …
    - Edge case 2: …
Definition of Ready: at least 2 ACs written and 0 unresolved Decision Log items.</t>
        </is>
      </c>
      <c r="I66" s="70" t="n"/>
      <c r="J66" s="70" t="inlineStr">
        <is>
          <t>Post-Launch</t>
        </is>
      </c>
      <c r="K66" s="70" t="inlineStr">
        <is>
          <t>Relationship</t>
        </is>
      </c>
      <c r="L66" s="70" t="inlineStr">
        <is>
          <t>No</t>
        </is>
      </c>
      <c r="M66" s="70" t="n"/>
      <c r="N66" s="70" t="inlineStr">
        <is>
          <t>Not Started</t>
        </is>
      </c>
      <c r="O66" s="70" t="n"/>
    </row>
    <row r="67">
      <c r="A67" s="70" t="n">
        <v>66</v>
      </c>
      <c r="B67" s="70" t="inlineStr">
        <is>
          <t>WS14 — WS 14: PPR Transition &amp; Migration</t>
        </is>
      </c>
      <c r="C67" s="70" t="inlineStr">
        <is>
          <t>E-WS14.3</t>
        </is>
      </c>
      <c r="D67" s="70" t="inlineStr">
        <is>
          <t>PPR Transition</t>
        </is>
      </c>
      <c r="E67" s="70" t="inlineStr">
        <is>
          <t>PPR member migrated to new program with pre-seeded tier</t>
        </is>
      </c>
      <c r="F67" s="70" t="inlineStr">
        <is>
          <t>Invited active PPR members in select Beta markets are migrated into the new Pro Loyalty program. Their tier status is pre-seeded based on historical spend, enabling immediate earn and redeem at Beta launch.</t>
        </is>
      </c>
      <c r="G67" s="70" t="inlineStr">
        <is>
          <t>PPR-AS-2, PPR-AS-3, PPR-AS-5, PPR-AS-6</t>
        </is>
      </c>
      <c r="H67" s="70" t="inlineStr">
        <is>
          <t>AC: [Author TBD] Write Given/When/Then for happy path + edge cases.
    - Happy path: …
    - Edge case 1: …
    - Edge case 2: …
Definition of Ready: at least 2 ACs written and 0 unresolved Decision Log items.</t>
        </is>
      </c>
      <c r="I67" s="70" t="inlineStr">
        <is>
          <t>Migration scope limited to invited active members in Beta markets. Historical spend data sourced from existing PPR / CRM records.</t>
        </is>
      </c>
      <c r="J67" s="70" t="inlineStr">
        <is>
          <t>Beta</t>
        </is>
      </c>
      <c r="K67" s="70" t="inlineStr">
        <is>
          <t>System</t>
        </is>
      </c>
      <c r="L67" s="70" t="inlineStr">
        <is>
          <t>No</t>
        </is>
      </c>
      <c r="M67" s="70" t="n"/>
      <c r="N67" s="70" t="inlineStr">
        <is>
          <t>Not Started</t>
        </is>
      </c>
      <c r="O67" s="70" t="n"/>
    </row>
    <row r="68">
      <c r="A68" s="70" t="n">
        <v>67</v>
      </c>
      <c r="B68" s="70" t="inlineStr">
        <is>
          <t>WS14 — WS 14: PPR Transition &amp; Migration</t>
        </is>
      </c>
      <c r="C68" s="70" t="inlineStr">
        <is>
          <t>E-WS14.1</t>
        </is>
      </c>
      <c r="D68" s="70" t="inlineStr">
        <is>
          <t>PPR Transition</t>
        </is>
      </c>
      <c r="E68" s="70" t="inlineStr">
        <is>
          <t>PPR point accrual stopped at cutoff date</t>
        </is>
      </c>
      <c r="F68" s="70" t="inlineStr">
        <is>
          <t>At a defined cutoff date, new point accrual under the PPR program stops. Existing PPR balances remain visible and redeemable by members.</t>
        </is>
      </c>
      <c r="G68" s="70" t="inlineStr">
        <is>
          <t>PPR-WD-1, PPR-WD-2</t>
        </is>
      </c>
      <c r="H68" s="70" t="inlineStr">
        <is>
          <t>AC: [Author TBD] Write Given/When/Then for happy path + edge cases.
    - Happy path: …
    - Edge case 1: …
    - Edge case 2: …
Definition of Ready: at least 2 ACs written and 0 unresolved Decision Log items.</t>
        </is>
      </c>
      <c r="I68" s="70" t="inlineStr">
        <is>
          <t>Cutoff date TBD. Visibility of existing balances must be maintained post-cutoff.</t>
        </is>
      </c>
      <c r="J68" s="70" t="inlineStr">
        <is>
          <t>Full Launch</t>
        </is>
      </c>
      <c r="K68" s="70" t="inlineStr">
        <is>
          <t>System</t>
        </is>
      </c>
      <c r="L68" s="70" t="inlineStr">
        <is>
          <t>No</t>
        </is>
      </c>
      <c r="M68" s="70" t="n"/>
      <c r="N68" s="70" t="inlineStr">
        <is>
          <t>Not Started</t>
        </is>
      </c>
      <c r="O68" s="70" t="n"/>
    </row>
    <row r="69">
      <c r="A69" s="70" t="n">
        <v>68</v>
      </c>
      <c r="B69" s="70" t="inlineStr">
        <is>
          <t>WS14 — WS 14: PPR Transition &amp; Migration</t>
        </is>
      </c>
      <c r="C69" s="70" t="inlineStr">
        <is>
          <t>E-WS14.3</t>
        </is>
      </c>
      <c r="D69" s="70" t="inlineStr">
        <is>
          <t>PPR Transition</t>
        </is>
      </c>
      <c r="E69" s="70" t="inlineStr">
        <is>
          <t>Remaining PPR members migrated at Full Launch</t>
        </is>
      </c>
      <c r="F69" s="70" t="inlineStr">
        <is>
          <t>The remaining designated PPR members (outside Beta markets) are migrated into the new Pro Loyalty program at Full Launch with pre-seeded tier status.</t>
        </is>
      </c>
      <c r="G69" s="70" t="inlineStr">
        <is>
          <t>PPR-AS-1, PPR-AS-7</t>
        </is>
      </c>
      <c r="H69" s="70" t="inlineStr">
        <is>
          <t>AC: [Author TBD] Write Given/When/Then for happy path + edge cases.
    - Happy path: …
    - Edge case 1: …
    - Edge case 2: …
Definition of Ready: at least 2 ACs written and 0 unresolved Decision Log items.</t>
        </is>
      </c>
      <c r="I69" s="70" t="n"/>
      <c r="J69" s="70" t="inlineStr">
        <is>
          <t>Full Launch</t>
        </is>
      </c>
      <c r="K69" s="70" t="inlineStr">
        <is>
          <t>System</t>
        </is>
      </c>
      <c r="L69" s="70" t="inlineStr">
        <is>
          <t>No</t>
        </is>
      </c>
      <c r="M69" s="70" t="n"/>
      <c r="N69" s="70" t="inlineStr">
        <is>
          <t>Not Started</t>
        </is>
      </c>
      <c r="O69" s="70" t="n"/>
    </row>
    <row r="70">
      <c r="A70" s="70" t="n">
        <v>69</v>
      </c>
      <c r="B70" s="70" t="inlineStr">
        <is>
          <t>WS13 — WS 13: Marketing &amp; Communications</t>
        </is>
      </c>
      <c r="C70" s="70" t="inlineStr">
        <is>
          <t>E-WS13.4</t>
        </is>
      </c>
      <c r="D70" s="70" t="inlineStr">
        <is>
          <t>PPR Transition</t>
        </is>
      </c>
      <c r="E70" s="70" t="inlineStr">
        <is>
          <t>PPR transition communications and data capture</t>
        </is>
      </c>
      <c r="F70" s="70" t="inlineStr">
        <is>
          <t>Throughout the PPR-to-new-program transition, members receive coordinated communications. Critical data gaps (e.g. missing contact info) are identified and filled via outreach tracking.</t>
        </is>
      </c>
      <c r="G70" s="70" t="inlineStr">
        <is>
          <t>PPR-PC-1, PPR-PC-2, PPR-DC-1, PPR-DC-2</t>
        </is>
      </c>
      <c r="H70" s="70" t="inlineStr">
        <is>
          <t>AC: [Author TBD] Write Given/When/Then for happy path + edge cases.
    - Happy path: …
    - Edge case 1: …
    - Edge case 2: …
Definition of Ready: at least 2 ACs written and 0 unresolved Decision Log items.</t>
        </is>
      </c>
      <c r="I70" s="70" t="inlineStr">
        <is>
          <t>CRM team and Marketing working team own communication delivery. Loyalty emits events; CRM acts on them.</t>
        </is>
      </c>
      <c r="J70" s="70" t="inlineStr">
        <is>
          <t>Full Launch</t>
        </is>
      </c>
      <c r="K70" s="70" t="inlineStr">
        <is>
          <t>System</t>
        </is>
      </c>
      <c r="L70" s="70" t="inlineStr">
        <is>
          <t>No</t>
        </is>
      </c>
      <c r="M70" s="70" t="n"/>
      <c r="N70" s="70" t="inlineStr">
        <is>
          <t>Not Started</t>
        </is>
      </c>
      <c r="O70" s="70" t="n"/>
    </row>
    <row r="71">
      <c r="A71" s="70" t="n">
        <v>70</v>
      </c>
      <c r="B71" s="70" t="inlineStr">
        <is>
          <t>WS9 — WS 9: Finance &amp; Oracle ERP Integration</t>
        </is>
      </c>
      <c r="C71" s="70" t="inlineStr">
        <is>
          <t>E-WS9.1</t>
        </is>
      </c>
      <c r="D71" s="70" t="inlineStr">
        <is>
          <t>Finance and Accounting</t>
        </is>
      </c>
      <c r="E71" s="70" t="inlineStr">
        <is>
          <t>Program spend and liabilities tracked across source systems</t>
        </is>
      </c>
      <c r="F71" s="70" t="inlineStr">
        <is>
          <t>The loyalty engine accurately tracks and records program spend and financial liabilities based on transaction and reward events from POS, Salesforce, and other source systems.</t>
        </is>
      </c>
      <c r="G71" s="70" t="inlineStr">
        <is>
          <t>FA-ACT-5, FA-ACT-6, FA-KPI-1, PPR-WD-7</t>
        </is>
      </c>
      <c r="H71" s="70" t="inlineStr">
        <is>
          <t>AC: [Author TBD] Write Given/When/Then for happy path + edge cases.
    - Happy path: …
    - Edge case 1: …
    - Edge case 2: …
Definition of Ready: at least 2 ACs written and 0 unresolved Decision Log items.</t>
        </is>
      </c>
      <c r="I71" s="70" t="inlineStr">
        <is>
          <t>Exact level of Oracle support TBD — pending conversation with Zachary Pion.</t>
        </is>
      </c>
      <c r="J71" s="70" t="inlineStr">
        <is>
          <t>Beta</t>
        </is>
      </c>
      <c r="K71" s="70" t="inlineStr">
        <is>
          <t>System</t>
        </is>
      </c>
      <c r="L71" s="70" t="inlineStr">
        <is>
          <t>No</t>
        </is>
      </c>
      <c r="M71" s="70" t="n"/>
      <c r="N71" s="70" t="inlineStr">
        <is>
          <t>Not Started</t>
        </is>
      </c>
      <c r="O71" s="70" t="n"/>
    </row>
    <row r="72">
      <c r="A72" s="70" t="n">
        <v>71</v>
      </c>
      <c r="B72" s="70" t="inlineStr">
        <is>
          <t>WS9 — WS 9: Finance &amp; Oracle ERP Integration</t>
        </is>
      </c>
      <c r="C72" s="70" t="inlineStr">
        <is>
          <t>E-WS9.1</t>
        </is>
      </c>
      <c r="D72" s="70" t="inlineStr">
        <is>
          <t>Finance and Accounting</t>
        </is>
      </c>
      <c r="E72" s="70" t="inlineStr">
        <is>
          <t>Liability, payout, and balance reconciliation processed</t>
        </is>
      </c>
      <c r="F72" s="70" t="inlineStr">
        <is>
          <t>Finance team can run liability, payout, and balance reconciliation against loyalty engine data.</t>
        </is>
      </c>
      <c r="G72" s="70" t="inlineStr">
        <is>
          <t>FA-ACT-6, FA-ACT-7</t>
        </is>
      </c>
      <c r="H72" s="70" t="inlineStr">
        <is>
          <t>AC: [Author TBD] Write Given/When/Then for happy path + edge cases.
    - Happy path: …
    - Edge case 1: …
    - Edge case 2: …
Definition of Ready: at least 2 ACs written and 0 unresolved Decision Log items.</t>
        </is>
      </c>
      <c r="I72" s="70" t="inlineStr">
        <is>
          <t>Exact level of Oracle support TBD.</t>
        </is>
      </c>
      <c r="J72" s="70" t="inlineStr">
        <is>
          <t>Beta</t>
        </is>
      </c>
      <c r="K72" s="70" t="inlineStr">
        <is>
          <t>System</t>
        </is>
      </c>
      <c r="L72" s="70" t="inlineStr">
        <is>
          <t>No</t>
        </is>
      </c>
      <c r="M72" s="70" t="n"/>
      <c r="N72" s="70" t="inlineStr">
        <is>
          <t>Not Started</t>
        </is>
      </c>
      <c r="O72" s="70" t="n"/>
    </row>
    <row r="73">
      <c r="A73" s="70" t="n">
        <v>72</v>
      </c>
      <c r="B73" s="70" t="inlineStr">
        <is>
          <t>WS6 — WS 6: Analytics &amp; KPI</t>
        </is>
      </c>
      <c r="C73" s="70" t="inlineStr">
        <is>
          <t>E-WS6.1</t>
        </is>
      </c>
      <c r="D73" s="70" t="inlineStr">
        <is>
          <t>Finance and Accounting</t>
        </is>
      </c>
      <c r="E73" s="70" t="inlineStr">
        <is>
          <t>KPI reporting for Finance and business stakeholders</t>
        </is>
      </c>
      <c r="F73" s="70" t="inlineStr">
        <is>
          <t>The loyalty engine supports KPI reporting across Finance and business stakeholders, surfacing program performance metrics.</t>
        </is>
      </c>
      <c r="G73" s="70" t="inlineStr">
        <is>
          <t>FA-KPI-1, FA-KPI-5, CRM-KPI-1, CRM-KPI-2, CRM-KPI-3, CRM-KPI-4, CRM-KPI-5, CRM-KPI-7, CRM-KPI-8, CRM-KPI-11, FA-KPI-2</t>
        </is>
      </c>
      <c r="H73" s="70" t="inlineStr">
        <is>
          <t>AC: [Author TBD] Write Given/When/Then for happy path + edge cases.
    - Happy path: …
    - Edge case 1: …
    - Edge case 2: …
Definition of Ready: at least 2 ACs written and 0 unresolved Decision Log items.</t>
        </is>
      </c>
      <c r="I73" s="70" t="n"/>
      <c r="J73" s="70" t="inlineStr">
        <is>
          <t>Beta</t>
        </is>
      </c>
      <c r="K73" s="70" t="inlineStr">
        <is>
          <t>System</t>
        </is>
      </c>
      <c r="L73" s="70" t="inlineStr">
        <is>
          <t>No</t>
        </is>
      </c>
      <c r="M73" s="70" t="n"/>
      <c r="N73" s="70" t="inlineStr">
        <is>
          <t>Not Started</t>
        </is>
      </c>
      <c r="O73" s="70" t="n"/>
    </row>
    <row r="74">
      <c r="A74" s="70" t="n">
        <v>73</v>
      </c>
      <c r="B74" s="70" t="inlineStr">
        <is>
          <t>WS8 — WS 8: CRM Systems Enablement</t>
        </is>
      </c>
      <c r="C74" s="70" t="inlineStr">
        <is>
          <t>E-WS8.2</t>
        </is>
      </c>
      <c r="D74" s="70" t="inlineStr">
        <is>
          <t>Account and Identity</t>
        </is>
      </c>
      <c r="E74" s="70" t="inlineStr">
        <is>
          <t>Account data captured and integrated across core systems</t>
        </is>
      </c>
      <c r="F74" s="70" t="inlineStr">
        <is>
          <t>Required account- and contact-level data is captured and integrated across CRM (Salesforce), POS, Pro App, website, MOPO, and Oracle.</t>
        </is>
      </c>
      <c r="G74" s="70" t="inlineStr">
        <is>
          <t>CRM-DF-7, CRM-DF-8, CRM-DF-6, CRM-AS-21</t>
        </is>
      </c>
      <c r="H74" s="70" t="inlineStr">
        <is>
          <t>AC: [Author TBD] Write Given/When/Then for happy path + edge cases.
    - Happy path: …
    - Edge case 1: …
    - Edge case 2: …
Definition of Ready: at least 2 ACs written and 0 unresolved Decision Log items.</t>
        </is>
      </c>
      <c r="I74" s="70" t="inlineStr">
        <is>
          <t>Exact level of Oracle support TBD. Integration scope for each system to be confirmed.</t>
        </is>
      </c>
      <c r="J74" s="70" t="inlineStr">
        <is>
          <t>Beta</t>
        </is>
      </c>
      <c r="K74" s="70" t="inlineStr">
        <is>
          <t>System</t>
        </is>
      </c>
      <c r="L74" s="70" t="inlineStr">
        <is>
          <t>No</t>
        </is>
      </c>
      <c r="M74" s="70" t="n"/>
      <c r="N74" s="70" t="inlineStr">
        <is>
          <t>Not Started</t>
        </is>
      </c>
      <c r="O74" s="70" t="n"/>
    </row>
    <row r="75">
      <c r="A75" s="70" t="n">
        <v>74</v>
      </c>
      <c r="B75" s="70" t="inlineStr">
        <is>
          <t>WS12 — WS 12: POS / Store Workflows (Veras)</t>
        </is>
      </c>
      <c r="C75" s="70" t="inlineStr">
        <is>
          <t>E-WS12.3</t>
        </is>
      </c>
      <c r="D75" s="70" t="inlineStr">
        <is>
          <t>Account and Identity</t>
        </is>
      </c>
      <c r="E75" s="70" t="inlineStr">
        <is>
          <t>Associate applies and records benefit usage at checkout (Beta)</t>
        </is>
      </c>
      <c r="F75" s="70" t="inlineStr">
        <is>
          <t>In Beta markets, a store associate applies and records benefit usage at checkout on behalf of the Pro member at POS.</t>
        </is>
      </c>
      <c r="G75" s="70" t="inlineStr">
        <is>
          <t>SO-WF-6, SO-WF-7</t>
        </is>
      </c>
      <c r="H75" s="70" t="inlineStr">
        <is>
          <t>AC: [Author TBD] Write Given/When/Then for happy path + edge cases.
    - Happy path: …
    - Edge case 1: …
    - Edge case 2: …
Definition of Ready: at least 2 ACs written and 0 unresolved Decision Log items.</t>
        </is>
      </c>
      <c r="I75" s="70" t="inlineStr">
        <is>
          <t>Team to define which benefits are in scope for associate application in Beta.</t>
        </is>
      </c>
      <c r="J75" s="70" t="inlineStr">
        <is>
          <t>Beta</t>
        </is>
      </c>
      <c r="K75" s="70" t="inlineStr">
        <is>
          <t>Relationship</t>
        </is>
      </c>
      <c r="L75" s="70" t="inlineStr">
        <is>
          <t>Yes</t>
        </is>
      </c>
      <c r="M75" s="70" t="n"/>
      <c r="N75" s="70" t="inlineStr">
        <is>
          <t>Not Started</t>
        </is>
      </c>
      <c r="O75" s="70" t="n"/>
    </row>
    <row r="76">
      <c r="A76" s="70" t="n">
        <v>75</v>
      </c>
      <c r="B76" s="70" t="inlineStr">
        <is>
          <t>WS13 — WS 13: Marketing &amp; Communications</t>
        </is>
      </c>
      <c r="C76" s="70" t="inlineStr">
        <is>
          <t>E-WS13.1</t>
        </is>
      </c>
      <c r="D76" s="70" t="inlineStr">
        <is>
          <t>Notifications</t>
        </is>
      </c>
      <c r="E76" s="70" t="inlineStr">
        <is>
          <t>Multi-channel comms — email and app notifications (Beta)</t>
        </is>
      </c>
      <c r="F76" s="70" t="inlineStr">
        <is>
          <t>The loyalty engine supports coordinated multi-channel communications through email and app notification channels for Beta. Triggered by loyalty events consumed by the CRM/Marketing team.</t>
        </is>
      </c>
      <c r="G76" s="70" t="inlineStr">
        <is>
          <t>PPR-PC-2, MC-TRN-2, MC-TRN-1, MC-TRN-3</t>
        </is>
      </c>
      <c r="H76" s="70" t="inlineStr">
        <is>
          <t>AC: [Author TBD] Write Given/When/Then for happy path + edge cases.
    - Happy path: …
    - Edge case 1: …
    - Edge case 2: …
Definition of Ready: at least 2 ACs written and 0 unresolved Decision Log items.</t>
        </is>
      </c>
      <c r="I76" s="70" t="inlineStr">
        <is>
          <t>SMS is Full Launch only. Marketing &amp; communications working team to determine event-based triggers.</t>
        </is>
      </c>
      <c r="J76" s="70" t="inlineStr">
        <is>
          <t>Beta</t>
        </is>
      </c>
      <c r="K76" s="70" t="inlineStr">
        <is>
          <t>System</t>
        </is>
      </c>
      <c r="L76" s="70" t="inlineStr">
        <is>
          <t>No</t>
        </is>
      </c>
      <c r="M76" s="70" t="n"/>
      <c r="N76" s="70" t="inlineStr">
        <is>
          <t>Not Started</t>
        </is>
      </c>
      <c r="O76" s="70" t="n"/>
    </row>
    <row r="77">
      <c r="A77" s="70" t="n">
        <v>76</v>
      </c>
      <c r="B77" s="70" t="inlineStr">
        <is>
          <t>WS13 — WS 13: Marketing &amp; Communications</t>
        </is>
      </c>
      <c r="C77" s="70" t="inlineStr">
        <is>
          <t>E-WS13.2</t>
        </is>
      </c>
      <c r="D77" s="70" t="inlineStr">
        <is>
          <t>Notifications</t>
        </is>
      </c>
      <c r="E77" s="70" t="inlineStr">
        <is>
          <t>Communication delivery, engagement, and consent tracked</t>
        </is>
      </c>
      <c r="F77" s="70" t="inlineStr">
        <is>
          <t>Delivery status, engagement metrics, and communication consent are tracked per account for all outbound loyalty communications.</t>
        </is>
      </c>
      <c r="G77" s="70" t="inlineStr">
        <is>
          <t>PPR-PC-3, MC-TMI-1, MC-TRN-3</t>
        </is>
      </c>
      <c r="H77" s="70" t="inlineStr">
        <is>
          <t>AC: [Author TBD] Write Given/When/Then for happy path + edge cases.
    - Happy path: …
    - Edge case 1: …
    - Edge case 2: …
Definition of Ready: at least 2 ACs written and 0 unresolved Decision Log items.</t>
        </is>
      </c>
      <c r="I77" s="70" t="inlineStr">
        <is>
          <t>Tracking must cover both Beta (email + app) and Full Launch (+ SMS) channels.</t>
        </is>
      </c>
      <c r="J77" s="70" t="inlineStr">
        <is>
          <t>Beta</t>
        </is>
      </c>
      <c r="K77" s="70" t="inlineStr">
        <is>
          <t>System</t>
        </is>
      </c>
      <c r="L77" s="70" t="inlineStr">
        <is>
          <t>No</t>
        </is>
      </c>
      <c r="M77" s="70" t="n"/>
      <c r="N77" s="70" t="inlineStr">
        <is>
          <t>Not Started</t>
        </is>
      </c>
      <c r="O77" s="70" t="n"/>
    </row>
    <row r="78">
      <c r="A78" s="70" t="n">
        <v>77</v>
      </c>
      <c r="B78" s="70" t="inlineStr">
        <is>
          <t>WS13 — WS 13: Marketing &amp; Communications</t>
        </is>
      </c>
      <c r="C78" s="70" t="inlineStr">
        <is>
          <t>E-WS13.2</t>
        </is>
      </c>
      <c r="D78" s="70" t="inlineStr">
        <is>
          <t>Notifications</t>
        </is>
      </c>
      <c r="E78" s="70" t="inlineStr">
        <is>
          <t>Multi-channel comms — SMS added at Full Launch</t>
        </is>
      </c>
      <c r="F78" s="70" t="inlineStr">
        <is>
          <t>SMS messaging is added as a communication channel at Full Launch, joining email and app notifications for loyalty event-driven communications.</t>
        </is>
      </c>
      <c r="G78" s="70" t="inlineStr">
        <is>
          <t>MC-TMI-2, MC-TMI-3</t>
        </is>
      </c>
      <c r="H78" s="70" t="inlineStr">
        <is>
          <t>AC: [Author TBD] Write Given/When/Then for happy path + edge cases.
    - Happy path: …
    - Edge case 1: …
    - Edge case 2: …
Definition of Ready: at least 2 ACs written and 0 unresolved Decision Log items.</t>
        </is>
      </c>
      <c r="I78" s="70" t="n"/>
      <c r="J78" s="70" t="inlineStr">
        <is>
          <t>Full Launch</t>
        </is>
      </c>
      <c r="K78" s="70" t="inlineStr">
        <is>
          <t>System</t>
        </is>
      </c>
      <c r="L78" s="70" t="inlineStr">
        <is>
          <t>No</t>
        </is>
      </c>
      <c r="M78" s="70" t="n"/>
      <c r="N78" s="70" t="inlineStr">
        <is>
          <t>Not Started</t>
        </is>
      </c>
      <c r="O78" s="70" t="n"/>
    </row>
    <row r="79">
      <c r="A79" s="70" t="n">
        <v>78</v>
      </c>
      <c r="B79" s="70" t="inlineStr">
        <is>
          <t>MP — MyProject Modifications / Integrations</t>
        </is>
      </c>
      <c r="C79" s="70" t="inlineStr">
        <is>
          <t>E-MP.3</t>
        </is>
      </c>
      <c r="D79" s="70" t="inlineStr">
        <is>
          <t>POS and Checkout</t>
        </is>
      </c>
      <c r="E79" s="70" t="inlineStr">
        <is>
          <t>Pro App checkout redirects to website (Beta)</t>
        </is>
      </c>
      <c r="F79" s="70" t="inlineStr">
        <is>
          <t>For Beta, native Pro App checkout is not used. Pro members checking out via the app are redirected via URL to the F&amp;D website to complete checkout and claim loyalty rewards.</t>
        </is>
      </c>
      <c r="G79" s="70" t="inlineStr">
        <is>
          <t>System design — no specific business rule</t>
        </is>
      </c>
      <c r="H79" s="70" t="inlineStr">
        <is>
          <t>AC: [Author TBD] Write Given/When/Then for happy path + edge cases.
    - Happy path: …
    - Edge case 1: …
    - Edge case 2: …
Definition of Ready: at least 2 ACs written and 0 unresolved Decision Log items.</t>
        </is>
      </c>
      <c r="I79" s="70" t="inlineStr">
        <is>
          <t>IT feasibility confirmation required. This is a Beta-specific constraint — full native app checkout is a post-Beta consideration.</t>
        </is>
      </c>
      <c r="J79" s="70" t="inlineStr">
        <is>
          <t>Beta</t>
        </is>
      </c>
      <c r="K79" s="70" t="inlineStr">
        <is>
          <t>N/A</t>
        </is>
      </c>
      <c r="L79" s="70" t="inlineStr">
        <is>
          <t>Yes</t>
        </is>
      </c>
      <c r="M79" s="70" t="n"/>
      <c r="N79" s="70" t="inlineStr">
        <is>
          <t>Not Started</t>
        </is>
      </c>
      <c r="O79" s="70" t="n"/>
    </row>
    <row r="80">
      <c r="A80" s="70" t="n">
        <v>79</v>
      </c>
      <c r="B80" s="70" t="inlineStr">
        <is>
          <t>WS5 — WS 5: Offers &amp; Benefit Fulfillment (Delivery, Samples, Bid Room)</t>
        </is>
      </c>
      <c r="C80" s="70" t="inlineStr">
        <is>
          <t>E-WS5.3</t>
        </is>
      </c>
      <c r="D80" s="70" t="inlineStr">
        <is>
          <t>Benefit Issuance</t>
        </is>
      </c>
      <c r="E80" s="70" t="inlineStr">
        <is>
          <t>Silver tier — monthly sample allotment issued (5/month)</t>
        </is>
      </c>
      <c r="F80" s="70" t="inlineStr">
        <is>
          <t>At the start of each month, rule engine issues 5 FREE_SAMPLES to every Silver tier account. Unused samples expire at month end — no rollover. Resets on the 1st of each month.</t>
        </is>
      </c>
      <c r="G80" s="70" t="inlineStr">
        <is>
          <t>S-1, S-2</t>
        </is>
      </c>
      <c r="H80" s="70" t="inlineStr">
        <is>
          <t>AC: [Author TBD] Write Given/When/Then for happy path + edge cases.
    - Happy path: …
    - Edge case 1: …
    - Edge case 2: …
Definition of Ready: at least 2 ACs written and 0 unresolved Decision Log items.</t>
        </is>
      </c>
      <c r="I80" s="70" t="inlineStr">
        <is>
          <t>Silver-specific consumable. Gold and Platinum get unlimited samples (separate use cases).</t>
        </is>
      </c>
      <c r="J80" s="70" t="inlineStr">
        <is>
          <t>Full Launch</t>
        </is>
      </c>
      <c r="K80" s="70" t="inlineStr">
        <is>
          <t>System</t>
        </is>
      </c>
      <c r="L80" s="70" t="inlineStr">
        <is>
          <t>No</t>
        </is>
      </c>
      <c r="M80" s="70" t="n"/>
      <c r="N80" s="70" t="inlineStr">
        <is>
          <t>Not Started</t>
        </is>
      </c>
      <c r="O80" s="70" t="n"/>
    </row>
    <row r="81">
      <c r="A81" s="70" t="n">
        <v>80</v>
      </c>
      <c r="B81" s="70" t="inlineStr">
        <is>
          <t>WS5 — WS 5: Offers &amp; Benefit Fulfillment (Delivery, Samples, Bid Room)</t>
        </is>
      </c>
      <c r="C81" s="70" t="inlineStr">
        <is>
          <t>E-WS5.3</t>
        </is>
      </c>
      <c r="D81" s="70" t="inlineStr">
        <is>
          <t>Benefit Issuance</t>
        </is>
      </c>
      <c r="E81" s="70" t="inlineStr">
        <is>
          <t>Gold tier — unlimited samples issued as standing benefit</t>
        </is>
      </c>
      <c r="F81" s="70" t="inlineStr">
        <is>
          <t>A Gold tier account receives a FREE_SAMPLES standing benefit with no quantity cap. No monthly tracking required. Benefit active as long as account holds Gold tier.</t>
        </is>
      </c>
      <c r="G81" s="70" t="inlineStr">
        <is>
          <t>S-1, S-2</t>
        </is>
      </c>
      <c r="H81" s="70" t="inlineStr">
        <is>
          <t>AC: [Author TBD] Write Given/When/Then for happy path + edge cases.
    - Happy path: …
    - Edge case 1: …
    - Edge case 2: …
Definition of Ready: at least 2 ACs written and 0 unresolved Decision Log items.</t>
        </is>
      </c>
      <c r="I81" s="70" t="inlineStr">
        <is>
          <t>Standing benefit — quantity_remaining is null. Different rule and projection shape from Silver.</t>
        </is>
      </c>
      <c r="J81" s="70" t="inlineStr">
        <is>
          <t>Full Launch</t>
        </is>
      </c>
      <c r="K81" s="70" t="inlineStr">
        <is>
          <t>System</t>
        </is>
      </c>
      <c r="L81" s="70" t="inlineStr">
        <is>
          <t>No</t>
        </is>
      </c>
      <c r="M81" s="70" t="n"/>
      <c r="N81" s="70" t="inlineStr">
        <is>
          <t>Not Started</t>
        </is>
      </c>
      <c r="O81" s="70" t="n"/>
    </row>
    <row r="82">
      <c r="A82" s="70" t="n">
        <v>81</v>
      </c>
      <c r="B82" s="70" t="inlineStr">
        <is>
          <t>WS5 — WS 5: Offers &amp; Benefit Fulfillment (Delivery, Samples, Bid Room)</t>
        </is>
      </c>
      <c r="C82" s="70" t="inlineStr">
        <is>
          <t>E-WS5.3</t>
        </is>
      </c>
      <c r="D82" s="70" t="inlineStr">
        <is>
          <t>Benefit Issuance</t>
        </is>
      </c>
      <c r="E82" s="70" t="inlineStr">
        <is>
          <t>Platinum tier — unlimited samples as standing benefit</t>
        </is>
      </c>
      <c r="F82" s="70" t="inlineStr">
        <is>
          <t>A Platinum tier account receives FREE_SAMPLES as an unlimited standing benefit, same model as Gold. Benefit active as long as account holds Platinum tier.</t>
        </is>
      </c>
      <c r="G82" s="70" t="inlineStr">
        <is>
          <t>S-1, S-2</t>
        </is>
      </c>
      <c r="H82" s="70" t="inlineStr">
        <is>
          <t>AC: [Author TBD] Write Given/When/Then for happy path + edge cases.
    - Happy path: …
    - Edge case 1: …
    - Edge case 2: …
Definition of Ready: at least 2 ACs written and 0 unresolved Decision Log items.</t>
        </is>
      </c>
      <c r="I82" s="70" t="n"/>
      <c r="J82" s="70" t="inlineStr">
        <is>
          <t>Full Launch</t>
        </is>
      </c>
      <c r="K82" s="70" t="inlineStr">
        <is>
          <t>System</t>
        </is>
      </c>
      <c r="L82" s="70" t="inlineStr">
        <is>
          <t>No</t>
        </is>
      </c>
      <c r="M82" s="70" t="n"/>
      <c r="N82" s="70" t="inlineStr">
        <is>
          <t>Not Started</t>
        </is>
      </c>
      <c r="O82" s="70" t="n"/>
    </row>
    <row r="83">
      <c r="A83" s="70" t="n">
        <v>82</v>
      </c>
      <c r="B83" s="70" t="inlineStr">
        <is>
          <t>WS5 — WS 5: Offers &amp; Benefit Fulfillment (Delivery, Samples, Bid Room)</t>
        </is>
      </c>
      <c r="C83" s="70" t="inlineStr">
        <is>
          <t>E-WS5.1</t>
        </is>
      </c>
      <c r="D83" s="70" t="inlineStr">
        <is>
          <t>Delivery Benefit</t>
        </is>
      </c>
      <c r="E83" s="70" t="inlineStr">
        <is>
          <t>Gold tier — annual delivery allotment tracked and enforced</t>
        </is>
      </c>
      <c r="F83" s="70" t="inlineStr">
        <is>
          <t>Gold tier accounts have a defined annual allotment of free deliveries. The loyalty engine tracks usage against the annual cap. When the cap is reached, further delivery benefit attempts are rejected.</t>
        </is>
      </c>
      <c r="G83" s="70" t="inlineStr">
        <is>
          <t>D-EM-4, D-EM-5</t>
        </is>
      </c>
      <c r="H83" s="70" t="inlineStr">
        <is>
          <t>AC: [Author TBD] Write Given/When/Then for happy path + edge cases.
    - Happy path: …
    - Edge case 1: …
    - Edge case 2: …
Definition of Ready: at least 2 ACs written and 0 unresolved Decision Log items.</t>
        </is>
      </c>
      <c r="I83" s="70" t="inlineStr">
        <is>
          <t>Annual cap amount TBD — pending business rules confirmation. Allotment resets annually.</t>
        </is>
      </c>
      <c r="J83" s="70" t="inlineStr">
        <is>
          <t>Full Launch</t>
        </is>
      </c>
      <c r="K83" s="70" t="inlineStr">
        <is>
          <t>Relationship</t>
        </is>
      </c>
      <c r="L83" s="70" t="inlineStr">
        <is>
          <t>Yes</t>
        </is>
      </c>
      <c r="M83" s="70" t="n"/>
      <c r="N83" s="70" t="inlineStr">
        <is>
          <t>Not Started</t>
        </is>
      </c>
      <c r="O83" s="70" t="n"/>
    </row>
    <row r="84">
      <c r="A84" s="70" t="n">
        <v>83</v>
      </c>
      <c r="B84" s="70" t="inlineStr">
        <is>
          <t>WS5 — WS 5: Offers &amp; Benefit Fulfillment (Delivery, Samples, Bid Room)</t>
        </is>
      </c>
      <c r="C84" s="70" t="inlineStr">
        <is>
          <t>E-WS5.3</t>
        </is>
      </c>
      <c r="D84" s="70" t="inlineStr">
        <is>
          <t>Benefit Redemption</t>
        </is>
      </c>
      <c r="E84" s="70" t="inlineStr">
        <is>
          <t>Sample requested for non-eligible SKU — rejected at POS</t>
        </is>
      </c>
      <c r="F84" s="70" t="inlineStr">
        <is>
          <t>A Pro member requests a free sample for a SKU that is not on the eligible SKU list. POS automatically flags the SKU as ineligible. Associate cannot manually override. Existing SOPs apply.</t>
        </is>
      </c>
      <c r="G84" s="70" t="inlineStr">
        <is>
          <t>S-5, S-8</t>
        </is>
      </c>
      <c r="H84" s="70" t="inlineStr">
        <is>
          <t>AC: [Author TBD] Write Given/When/Then for happy path + edge cases.
    - Happy path: …
    - Edge case 1: …
    - Edge case 2: …
Definition of Ready: at least 2 ACs written and 0 unresolved Decision Log items.</t>
        </is>
      </c>
      <c r="I84" s="70" t="inlineStr">
        <is>
          <t>Eligibility check must be automatic — no reliance on cashier memory. SKU eligibility list maintained by existing systems; must integrate with loyalty engine.</t>
        </is>
      </c>
      <c r="J84" s="70" t="inlineStr">
        <is>
          <t>Full Launch</t>
        </is>
      </c>
      <c r="K84" s="70" t="inlineStr">
        <is>
          <t>Relationship</t>
        </is>
      </c>
      <c r="L84" s="70" t="inlineStr">
        <is>
          <t>Yes</t>
        </is>
      </c>
      <c r="M84" s="70" t="n"/>
      <c r="N84" s="70" t="inlineStr">
        <is>
          <t>Not Started</t>
        </is>
      </c>
      <c r="O84" s="70" t="n"/>
    </row>
    <row r="85">
      <c r="A85" s="70" t="n">
        <v>84</v>
      </c>
      <c r="B85" s="70" t="inlineStr">
        <is>
          <t>WS5 — WS 5: Offers &amp; Benefit Fulfillment (Delivery, Samples, Bid Room)</t>
        </is>
      </c>
      <c r="C85" s="70" t="inlineStr">
        <is>
          <t>E-WS5.3</t>
        </is>
      </c>
      <c r="D85" s="70" t="inlineStr">
        <is>
          <t>Benefit Redemption</t>
        </is>
      </c>
      <c r="E85" s="70" t="inlineStr">
        <is>
          <t>Sample usage tracked at SKU level by account</t>
        </is>
      </c>
      <c r="F85" s="70" t="inlineStr">
        <is>
          <t>Every free sample consumption is recorded at the SKU level against the account, not just as a generic quantity decrement. Loyalty engine maintains per-SKU usage history for Silver tier accounts.</t>
        </is>
      </c>
      <c r="G85" s="70" t="inlineStr">
        <is>
          <t>S-7</t>
        </is>
      </c>
      <c r="H85" s="70" t="inlineStr">
        <is>
          <t>AC: [Author TBD] Write Given/When/Then for happy path + edge cases.
    - Happy path: …
    - Edge case 1: …
    - Edge case 2: …
Definition of Ready: at least 2 ACs written and 0 unresolved Decision Log items.</t>
        </is>
      </c>
      <c r="I85" s="70" t="inlineStr">
        <is>
          <t>Required for reporting, abuse detection, and potential future per-SKU limits (open item S-1).</t>
        </is>
      </c>
      <c r="J85" s="70" t="inlineStr">
        <is>
          <t>Full Launch</t>
        </is>
      </c>
      <c r="K85" s="70" t="inlineStr">
        <is>
          <t>System</t>
        </is>
      </c>
      <c r="L85" s="70" t="inlineStr">
        <is>
          <t>No</t>
        </is>
      </c>
      <c r="M85" s="70" t="n"/>
      <c r="N85" s="70" t="inlineStr">
        <is>
          <t>Not Started</t>
        </is>
      </c>
      <c r="O85" s="70" t="n"/>
    </row>
    <row r="86">
      <c r="A86" s="70" t="n">
        <v>85</v>
      </c>
      <c r="B86" s="70" t="inlineStr">
        <is>
          <t>WS6 — WS 6: Analytics &amp; KPI</t>
        </is>
      </c>
      <c r="C86" s="70" t="inlineStr">
        <is>
          <t>E-WS6.2</t>
        </is>
      </c>
      <c r="D86" s="70" t="inlineStr">
        <is>
          <t>Operational and Admin</t>
        </is>
      </c>
      <c r="E86" s="70" t="inlineStr">
        <is>
          <t>Sample benefit usage reporting by tier</t>
        </is>
      </c>
      <c r="F86" s="70" t="inlineStr">
        <is>
          <t>Operations and Finance can run reports on free sample usage by Pro account and tier, including fulfillment volume, cost, and SKU-level breakdown.</t>
        </is>
      </c>
      <c r="G86" s="70" t="inlineStr">
        <is>
          <t>S-9</t>
        </is>
      </c>
      <c r="H86" s="70" t="inlineStr">
        <is>
          <t>AC: [Author TBD] Write Given/When/Then for happy path + edge cases.
    - Happy path: …
    - Edge case 1: …
    - Edge case 2: …
Definition of Ready: at least 2 ACs written and 0 unresolved Decision Log items.</t>
        </is>
      </c>
      <c r="I86" s="70" t="inlineStr">
        <is>
          <t>Must integrate with existing sample fulfillment reporting systems per S-9.</t>
        </is>
      </c>
      <c r="J86" s="70" t="inlineStr">
        <is>
          <t>Full Launch</t>
        </is>
      </c>
      <c r="K86" s="70" t="inlineStr">
        <is>
          <t>System</t>
        </is>
      </c>
      <c r="L86" s="70" t="inlineStr">
        <is>
          <t>No</t>
        </is>
      </c>
      <c r="M86" s="70" t="n"/>
      <c r="N86" s="70" t="inlineStr">
        <is>
          <t>Not Started</t>
        </is>
      </c>
      <c r="O86" s="70" t="n"/>
    </row>
    <row r="87">
      <c r="A87" s="70" t="n">
        <v>86</v>
      </c>
      <c r="B87" s="70" t="inlineStr">
        <is>
          <t>WS12 — WS 12: POS / Store Workflows (Veras)</t>
        </is>
      </c>
      <c r="C87" s="70" t="inlineStr">
        <is>
          <t>E-WS12.4</t>
        </is>
      </c>
      <c r="D87" s="70" t="inlineStr">
        <is>
          <t>Pricing</t>
        </is>
      </c>
      <c r="E87" s="70" t="inlineStr">
        <is>
          <t>PRO account identified at POS — bulk pricing unlocked</t>
        </is>
      </c>
      <c r="F87" s="70" t="inlineStr">
        <is>
          <t>A PRO account is identified at checkout. Bulk pricing eligibility is unlocked for the session. All PRO accounts are eligible for bulk pricing regardless of tier.</t>
        </is>
      </c>
      <c r="G87" s="70" t="inlineStr">
        <is>
          <t>PR-BP-2, SO-AI-1</t>
        </is>
      </c>
      <c r="H87" s="70" t="inlineStr">
        <is>
          <t>AC: [Author TBD] Write Given/When/Then for happy path + edge cases.
    - Happy path: …
    - Edge case 1: …
    - Edge case 2: …
Definition of Ready: at least 2 ACs written and 0 unresolved Decision Log items.</t>
        </is>
      </c>
      <c r="I87" s="70" t="inlineStr">
        <is>
          <t>Bulk pricing is a POS-side behavior triggered by PRO account identification. Loyalty confirms PRO status; POS applies the pricing.</t>
        </is>
      </c>
      <c r="J87" s="70" t="inlineStr">
        <is>
          <t>Post-Launch</t>
        </is>
      </c>
      <c r="K87" s="70" t="inlineStr">
        <is>
          <t>Relationship</t>
        </is>
      </c>
      <c r="L87" s="70" t="inlineStr">
        <is>
          <t>Yes</t>
        </is>
      </c>
      <c r="M87" s="70" t="n"/>
      <c r="N87" s="70" t="inlineStr">
        <is>
          <t>Not Started</t>
        </is>
      </c>
      <c r="O87" s="70" t="n"/>
    </row>
    <row r="88">
      <c r="A88" s="70" t="n">
        <v>87</v>
      </c>
      <c r="B88" s="70" t="inlineStr">
        <is>
          <t>WS12 — WS 12: POS / Store Workflows (Veras)</t>
        </is>
      </c>
      <c r="C88" s="70" t="inlineStr">
        <is>
          <t>E-WS12.4</t>
        </is>
      </c>
      <c r="D88" s="70" t="inlineStr">
        <is>
          <t>Pricing</t>
        </is>
      </c>
      <c r="E88" s="70" t="inlineStr">
        <is>
          <t>Bulk pricing applied automatically as quantity threshold reached</t>
        </is>
      </c>
      <c r="F88" s="70" t="inlineStr">
        <is>
          <t>As items are scanned at POS or added online, the system tracks quantity per SKU. When a defined threshold is reached, bulk pricing is applied automatically and the unit price updates in real time.</t>
        </is>
      </c>
      <c r="G88" s="70" t="inlineStr">
        <is>
          <t>PR-BP-4, PR-BP-6, PR-BP-3, PR-BP-5</t>
        </is>
      </c>
      <c r="H88" s="70" t="inlineStr">
        <is>
          <t>AC: [Author TBD] Write Given/When/Then for happy path + edge cases.
    - Happy path: …
    - Edge case 1: …
    - Edge case 2: …
Definition of Ready: at least 2 ACs written and 0 unresolved Decision Log items.</t>
        </is>
      </c>
      <c r="I88" s="70" t="inlineStr">
        <is>
          <t>No manual override permitted. Logic applies best discount available — bulk pricing does not stack with other promotions. Bulk-discounted orders remain eligible for loyalty rebate accrual.</t>
        </is>
      </c>
      <c r="J88" s="70" t="inlineStr">
        <is>
          <t>Post-Launch</t>
        </is>
      </c>
      <c r="K88" s="70" t="inlineStr">
        <is>
          <t>System</t>
        </is>
      </c>
      <c r="L88" s="70" t="inlineStr">
        <is>
          <t>Yes</t>
        </is>
      </c>
      <c r="M88" s="70" t="n"/>
      <c r="N88" s="70" t="inlineStr">
        <is>
          <t>Not Started</t>
        </is>
      </c>
      <c r="O88" s="70" t="n"/>
    </row>
    <row r="89">
      <c r="A89" s="70" t="n">
        <v>88</v>
      </c>
      <c r="B89" s="70" t="inlineStr">
        <is>
          <t>WS4 — WS 4: Program Configuration &amp; Business Rules</t>
        </is>
      </c>
      <c r="C89" s="70" t="inlineStr">
        <is>
          <t>E-WS4.1</t>
        </is>
      </c>
      <c r="D89" s="70" t="inlineStr">
        <is>
          <t>Pricing</t>
        </is>
      </c>
      <c r="E89" s="70" t="inlineStr">
        <is>
          <t>Bulk pricing rule updated — propagated across systems</t>
        </is>
      </c>
      <c r="F89" s="70" t="inlineStr">
        <is>
          <t>Merchandising team updates bulk pricing rules (eligible SKUs, quantity thresholds, pricing tiers). Changes propagate to POS, eCommerce, and Pro App in a timely manner to ensure consistency.</t>
        </is>
      </c>
      <c r="G89" s="70" t="inlineStr">
        <is>
          <t>PR-BP-7, PR-BP-1, PR-BP-5</t>
        </is>
      </c>
      <c r="H89" s="70" t="inlineStr">
        <is>
          <t>AC: [Author TBD] Write Given/When/Then for happy path + edge cases.
    - Happy path: …
    - Edge case 1: …
    - Edge case 2: …
Definition of Ready: at least 2 ACs written and 0 unresolved Decision Log items.</t>
        </is>
      </c>
      <c r="I89" s="70" t="inlineStr">
        <is>
          <t>Pricing system must support a configuration UI for the Price Execution team. MD codes should differentiate bulk pricing from other discounting.</t>
        </is>
      </c>
      <c r="J89" s="70" t="inlineStr">
        <is>
          <t>Post-Launch</t>
        </is>
      </c>
      <c r="K89" s="70" t="inlineStr">
        <is>
          <t>System</t>
        </is>
      </c>
      <c r="L89" s="70" t="inlineStr">
        <is>
          <t>No</t>
        </is>
      </c>
      <c r="M89" s="70" t="n"/>
      <c r="N89" s="70" t="inlineStr">
        <is>
          <t>Not Started</t>
        </is>
      </c>
      <c r="O89" s="70" t="n"/>
    </row>
    <row r="90">
      <c r="A90" s="70" t="n">
        <v>89</v>
      </c>
      <c r="B90" s="70" t="inlineStr">
        <is>
          <t>WS12 — WS 12: POS / Store Workflows (Veras)</t>
        </is>
      </c>
      <c r="C90" s="70" t="inlineStr">
        <is>
          <t>E-WS12.4</t>
        </is>
      </c>
      <c r="D90" s="70" t="inlineStr">
        <is>
          <t>Pricing</t>
        </is>
      </c>
      <c r="E90" s="70" t="inlineStr">
        <is>
          <t>Cart exceeds $5K threshold — bid room eligibility flagged</t>
        </is>
      </c>
      <c r="F90" s="70" t="inlineStr">
        <is>
          <t>A PRO's cart or project reaches $5,000. System flags bid room eligibility and prompts the associate or notifies the PRO to engage the bid room process. A $5K+ bid room transaction pushes the account to Silver tier even with no prior spend history.</t>
        </is>
      </c>
      <c r="G90" s="70" t="inlineStr">
        <is>
          <t>PR-BR-1, PR-BR-2, PR-BR-3</t>
        </is>
      </c>
      <c r="H90" s="70" t="inlineStr">
        <is>
          <t>AC: [Author TBD] Write Given/When/Then for happy path + edge cases.
    - Happy path: …
    - Edge case 1: …
    - Edge case 2: …
Definition of Ready: at least 2 ACs written and 0 unresolved Decision Log items.</t>
        </is>
      </c>
      <c r="I90" s="70" t="inlineStr">
        <is>
          <t>Bid room process itself is manual and unchanged for Beta and Full Launch. Flagging is the loyalty/POS concern. Volume to bid room expected to increase significantly — process scalability is an open item.</t>
        </is>
      </c>
      <c r="J90" s="70" t="inlineStr">
        <is>
          <t>Full Launch</t>
        </is>
      </c>
      <c r="K90" s="70" t="inlineStr">
        <is>
          <t>System</t>
        </is>
      </c>
      <c r="L90" s="70" t="inlineStr">
        <is>
          <t>Yes</t>
        </is>
      </c>
      <c r="M90" s="70" t="n"/>
      <c r="N90" s="70" t="inlineStr">
        <is>
          <t>Not Started</t>
        </is>
      </c>
      <c r="O90" s="70" t="n"/>
    </row>
    <row r="91">
      <c r="A91" s="70" t="n">
        <v>90</v>
      </c>
      <c r="B91" s="70" t="inlineStr">
        <is>
          <t>WS1 — WS 1: Core Loyalty Engine — Member, Tier &amp; Ledger</t>
        </is>
      </c>
      <c r="C91" s="70" t="inlineStr">
        <is>
          <t>E-WS1.2</t>
        </is>
      </c>
      <c r="D91" s="70" t="inlineStr">
        <is>
          <t>Pricing</t>
        </is>
      </c>
      <c r="E91" s="70" t="inlineStr">
        <is>
          <t>Bid room transaction triggers real-time tier evaluation</t>
        </is>
      </c>
      <c r="F91" s="70" t="inlineStr">
        <is>
          <t>A bid room transaction is completed. The transaction amount is attributed to the account and tier is evaluated in real time. If the account qualifies for Silver (or higher) based on the transaction, tier is assigned immediately and relevant benefits are issued.</t>
        </is>
      </c>
      <c r="G91" s="70" t="inlineStr">
        <is>
          <t>PR-BR-1, SO-WF-1</t>
        </is>
      </c>
      <c r="H91" s="70" t="inlineStr">
        <is>
          <t>AC: [Author TBD] Write Given/When/Then for happy path + edge cases.
    - Happy path: …
    - Edge case 1: …
    - Edge case 2: …
Definition of Ready: at least 2 ACs written and 0 unresolved Decision Log items.</t>
        </is>
      </c>
      <c r="I91" s="70" t="inlineStr">
        <is>
          <t>Bid room transactions use MD codes. Tier evaluation must fire on completion of the bid room transaction, not just on standard POS transactions.</t>
        </is>
      </c>
      <c r="J91" s="70" t="inlineStr">
        <is>
          <t>Full Launch</t>
        </is>
      </c>
      <c r="K91" s="70" t="inlineStr">
        <is>
          <t>System</t>
        </is>
      </c>
      <c r="L91" s="70" t="inlineStr">
        <is>
          <t>No</t>
        </is>
      </c>
      <c r="M91" s="70" t="n"/>
      <c r="N91" s="70" t="inlineStr">
        <is>
          <t>Not Started</t>
        </is>
      </c>
      <c r="O91" s="70" t="n"/>
    </row>
    <row r="92">
      <c r="A92" s="70" t="n">
        <v>91</v>
      </c>
      <c r="B92" s="70" t="inlineStr">
        <is>
          <t>WS12 — WS 12: POS / Store Workflows (Veras)</t>
        </is>
      </c>
      <c r="C92" s="70" t="inlineStr">
        <is>
          <t>E-WS12.1</t>
        </is>
      </c>
      <c r="D92" s="70" t="inlineStr">
        <is>
          <t>Store Operations</t>
        </is>
      </c>
      <c r="E92" s="70" t="inlineStr">
        <is>
          <t>Phone number lookup returns multiple accounts — associate disambiguates</t>
        </is>
      </c>
      <c r="F92" s="70" t="inlineStr">
        <is>
          <t>A PRO provides a phone number at POS that is associated with more than one loyalty account. POS prompts the associate to ask the PRO to clarify which account the transaction belongs to, or request the account ID or QR code.</t>
        </is>
      </c>
      <c r="G92" s="70" t="inlineStr">
        <is>
          <t>SO-AI-1, E-OA-5</t>
        </is>
      </c>
      <c r="H92" s="70" t="inlineStr">
        <is>
          <t>AC: [Author TBD] Write Given/When/Then for happy path + edge cases.
    - Happy path: …
    - Edge case 1: …
    - Edge case 2: …
Definition of Ready: at least 2 ACs written and 0 unresolved Decision Log items.</t>
        </is>
      </c>
      <c r="I92" s="70" t="inlineStr">
        <is>
          <t>SOP for multi-account phone lookup to be defined — see Store Operations open item 4.</t>
        </is>
      </c>
      <c r="J92" s="70" t="inlineStr">
        <is>
          <t>Beta</t>
        </is>
      </c>
      <c r="K92" s="70" t="inlineStr">
        <is>
          <t>Relationship</t>
        </is>
      </c>
      <c r="L92" s="70" t="inlineStr">
        <is>
          <t>Yes</t>
        </is>
      </c>
      <c r="M92" s="70" t="n"/>
      <c r="N92" s="70" t="inlineStr">
        <is>
          <t>Not Started</t>
        </is>
      </c>
      <c r="O92" s="70" t="n"/>
    </row>
    <row r="93">
      <c r="A93" s="70" t="n">
        <v>92</v>
      </c>
      <c r="B93" s="70" t="inlineStr">
        <is>
          <t>WS3 — WS 3: Transaction &amp; Spend Ingestion</t>
        </is>
      </c>
      <c r="C93" s="70" t="inlineStr">
        <is>
          <t>E-WS3.3</t>
        </is>
      </c>
      <c r="D93" s="70" t="inlineStr">
        <is>
          <t>Store Operations</t>
        </is>
      </c>
      <c r="E93" s="70" t="inlineStr">
        <is>
          <t>Transaction retroactively attributed to existing account</t>
        </is>
      </c>
      <c r="F93" s="70" t="inlineStr">
        <is>
          <t>A transaction was processed without a loyalty account linked (PRO could not be identified or account was not found). After the transaction, the PRO provides their account details. The transaction is retroactively attributed to their account and spend aggregates are updated.</t>
        </is>
      </c>
      <c r="G93" s="70" t="inlineStr">
        <is>
          <t>E-OA-6, SO-WF-4</t>
        </is>
      </c>
      <c r="H93" s="70" t="inlineStr">
        <is>
          <t>AC: [Author TBD] Write Given/When/Then for happy path + edge cases.
    - Happy path: …
    - Edge case 1: …
    - Edge case 2: …
Definition of Ready: at least 2 ACs written and 0 unresolved Decision Log items.</t>
        </is>
      </c>
      <c r="I93" s="70" t="inlineStr">
        <is>
          <t>Eligible for retroactive attribution so long as it occurs beyond the PPR points earning cutoff timestamp.</t>
        </is>
      </c>
      <c r="J93" s="70" t="inlineStr">
        <is>
          <t>Beta</t>
        </is>
      </c>
      <c r="K93" s="70" t="inlineStr">
        <is>
          <t>System</t>
        </is>
      </c>
      <c r="L93" s="70" t="inlineStr">
        <is>
          <t>No</t>
        </is>
      </c>
      <c r="M93" s="70" t="n"/>
      <c r="N93" s="70" t="inlineStr">
        <is>
          <t>Not Started</t>
        </is>
      </c>
      <c r="O93" s="70" t="n"/>
    </row>
    <row r="94">
      <c r="A94" s="70" t="n">
        <v>93</v>
      </c>
      <c r="B94" s="70" t="inlineStr">
        <is>
          <t>WS3 — WS 3: Transaction &amp; Spend Ingestion</t>
        </is>
      </c>
      <c r="C94" s="70" t="inlineStr">
        <is>
          <t>E-WS3.2</t>
        </is>
      </c>
      <c r="D94" s="70" t="inlineStr">
        <is>
          <t>Store Operations</t>
        </is>
      </c>
      <c r="E94" s="70" t="inlineStr">
        <is>
          <t>Newly enrolled account's first transaction linked in real time</t>
        </is>
      </c>
      <c r="F94" s="70" t="inlineStr">
        <is>
          <t>A PRO completes enrollment via the Pro App in-store. Immediately after enrollment, the associate processes the transaction. POS recognizes the newly created account (via phone, email, QR, or temporary ID) and links the transaction in real time.</t>
        </is>
      </c>
      <c r="G94" s="70" t="inlineStr">
        <is>
          <t>SO-WF-3</t>
        </is>
      </c>
      <c r="H94" s="70" t="inlineStr">
        <is>
          <t>AC: [Author TBD] Write Given/When/Then for happy path + edge cases.
    - Happy path: …
    - Edge case 1: …
    - Edge case 2: …
Definition of Ready: at least 2 ACs written and 0 unresolved Decision Log items.</t>
        </is>
      </c>
      <c r="I94" s="70" t="inlineStr">
        <is>
          <t>Loyalty engine must support real-time or near-real-time linkage of the first transaction to a newly created account. Account is auto-created in CRM and loyalty at enrollment and assigned Red tier by default.</t>
        </is>
      </c>
      <c r="J94" s="70" t="inlineStr">
        <is>
          <t>Beta</t>
        </is>
      </c>
      <c r="K94" s="70" t="inlineStr">
        <is>
          <t>System</t>
        </is>
      </c>
      <c r="L94" s="70" t="inlineStr">
        <is>
          <t>Yes</t>
        </is>
      </c>
      <c r="M94" s="70" t="n"/>
      <c r="N94" s="70" t="inlineStr">
        <is>
          <t>Not Started</t>
        </is>
      </c>
      <c r="O94" s="70" t="n"/>
    </row>
    <row r="95">
      <c r="A95" s="70" t="n">
        <v>94</v>
      </c>
      <c r="B95" s="70" t="inlineStr">
        <is>
          <t>WS1 — WS 1: Core Loyalty Engine — Member, Tier &amp; Ledger</t>
        </is>
      </c>
      <c r="C95" s="70" t="inlineStr">
        <is>
          <t>E-WS1.2</t>
        </is>
      </c>
      <c r="D95" s="70" t="inlineStr">
        <is>
          <t>Store Operations</t>
        </is>
      </c>
      <c r="E95" s="70" t="inlineStr">
        <is>
          <t>First transaction over $5K — tier evaluated before transaction completes</t>
        </is>
      </c>
      <c r="F95" s="70" t="inlineStr">
        <is>
          <t>A newly enrolled account's first transaction exceeds $5,000. The system evaluates and assigns the appropriate tier (Silver or above) in real time before the transaction completes, enabling correct benefit application on that transaction.</t>
        </is>
      </c>
      <c r="G95" s="70" t="inlineStr">
        <is>
          <t>SO-WF-1, PR-BR-1</t>
        </is>
      </c>
      <c r="H95" s="70" t="inlineStr">
        <is>
          <t>AC-1: GIVEN a newly enrolled Red-tier account about to complete a $5,200 purchase
       WHEN POS confirms transaction
       THEN loyalty engine evaluates tier (Silver) BEFORE finalize
       AND POS displays Silver tier and applicable benefits to associate
AC-2: GIVEN bid room engagement is also flagged
       WHEN both flags fire
       THEN bid room flag is surfaced regardless of tier</t>
        </is>
      </c>
      <c r="I95" s="70" t="inlineStr">
        <is>
          <t>Real-time tier evaluation required for in-flight transactions. Relevant for bid room and large project transactions at enrollment.</t>
        </is>
      </c>
      <c r="J95" s="70" t="inlineStr">
        <is>
          <t>Beta</t>
        </is>
      </c>
      <c r="K95" s="70" t="inlineStr">
        <is>
          <t>System</t>
        </is>
      </c>
      <c r="L95" s="70" t="inlineStr">
        <is>
          <t>Yes</t>
        </is>
      </c>
      <c r="M95" s="70" t="n"/>
      <c r="N95" s="70" t="inlineStr">
        <is>
          <t>Not Started</t>
        </is>
      </c>
      <c r="O95" s="70" t="n"/>
    </row>
    <row r="96">
      <c r="A96" s="70" t="n">
        <v>95</v>
      </c>
      <c r="B96" s="70" t="inlineStr">
        <is>
          <t>WS12 — WS 12: POS / Store Workflows (Veras)</t>
        </is>
      </c>
      <c r="C96" s="70" t="inlineStr">
        <is>
          <t>E-WS12.2</t>
        </is>
      </c>
      <c r="D96" s="70" t="inlineStr">
        <is>
          <t>Store Operations</t>
        </is>
      </c>
      <c r="E96" s="70" t="inlineStr">
        <is>
          <t>POS displays loyalty status summary to associate</t>
        </is>
      </c>
      <c r="F96" s="70" t="inlineStr">
        <is>
          <t>At checkout, POS displays a simplified real-time view of the PRO account: account name, tier status, user name, primary vs delegate status, benefit eligibility flags, usage counters, YTD spend, PYTD spend, and progress to next tier.</t>
        </is>
      </c>
      <c r="G96" s="70" t="inlineStr">
        <is>
          <t>SO-AI-3</t>
        </is>
      </c>
      <c r="H96" s="70" t="inlineStr">
        <is>
          <t>AC: [Author TBD] Write Given/When/Then for happy path + edge cases.
    - Happy path: …
    - Edge case 1: …
    - Edge case 2: …
Definition of Ready: at least 2 ACs written and 0 unresolved Decision Log items.</t>
        </is>
      </c>
      <c r="I96" s="70" t="inlineStr">
        <is>
          <t>Priority tiers per SO-AI-3: account name and tier are highest priority. Spend progress and full detail are moderate. All data must reflect real-time loyalty engine state. Manager vs associate access permissions TBD — see Store Operations open item 5.</t>
        </is>
      </c>
      <c r="J96" s="70" t="inlineStr">
        <is>
          <t>Beta</t>
        </is>
      </c>
      <c r="K96" s="70" t="inlineStr">
        <is>
          <t>Relationship</t>
        </is>
      </c>
      <c r="L96" s="70" t="inlineStr">
        <is>
          <t>Yes</t>
        </is>
      </c>
      <c r="M96" s="70" t="n"/>
      <c r="N96" s="70" t="inlineStr">
        <is>
          <t>Not Started</t>
        </is>
      </c>
      <c r="O96" s="70" t="n"/>
    </row>
    <row r="97">
      <c r="A97" s="70" t="n">
        <v>96</v>
      </c>
      <c r="B97" s="70" t="inlineStr">
        <is>
          <t>WS12 — WS 12: POS / Store Workflows (Veras)</t>
        </is>
      </c>
      <c r="C97" s="70" t="inlineStr">
        <is>
          <t>E-WS12.2</t>
        </is>
      </c>
      <c r="D97" s="70" t="inlineStr">
        <is>
          <t>Store Operations</t>
        </is>
      </c>
      <c r="E97" s="70" t="inlineStr">
        <is>
          <t>POS flags account data quality issue to associate</t>
        </is>
      </c>
      <c r="F97" s="70" t="inlineStr">
        <is>
          <t>At checkout or PRO desk interaction, POS surfaces a flag if the account has missing critical data (no email, no phone number), has not yet been notified of the program transition, or has not yet enrolled.</t>
        </is>
      </c>
      <c r="G97" s="70" t="inlineStr">
        <is>
          <t>SO-AI-7</t>
        </is>
      </c>
      <c r="H97" s="70" t="inlineStr">
        <is>
          <t>AC: [Author TBD] Write Given/When/Then for happy path + edge cases.
    - Happy path: …
    - Edge case 1: …
    - Edge case 2: …
Definition of Ready: at least 2 ACs written and 0 unresolved Decision Log items.</t>
        </is>
      </c>
      <c r="I97" s="70" t="inlineStr">
        <is>
          <t>Associates should surface the issue and direct PROs to the appropriate channel (app or Customer Care) — not fix it themselves. Associates cannot update account records directly.</t>
        </is>
      </c>
      <c r="J97" s="70" t="inlineStr">
        <is>
          <t>Beta</t>
        </is>
      </c>
      <c r="K97" s="70" t="inlineStr">
        <is>
          <t>System</t>
        </is>
      </c>
      <c r="L97" s="70" t="inlineStr">
        <is>
          <t>Yes</t>
        </is>
      </c>
      <c r="M97" s="70" t="n"/>
      <c r="N97" s="70" t="inlineStr">
        <is>
          <t>Not Started</t>
        </is>
      </c>
      <c r="O97" s="70" t="n"/>
    </row>
    <row r="98">
      <c r="A98" s="70" t="n">
        <v>97</v>
      </c>
      <c r="B98" s="70" t="inlineStr">
        <is>
          <t>WS15 — WS 15: Store Operations &amp; Training</t>
        </is>
      </c>
      <c r="C98" s="70" t="inlineStr">
        <is>
          <t>E-WS15.3</t>
        </is>
      </c>
      <c r="D98" s="70" t="inlineStr">
        <is>
          <t>Store Operations</t>
        </is>
      </c>
      <c r="E98" s="70" t="inlineStr">
        <is>
          <t>Redemption dispute escalated above store level</t>
        </is>
      </c>
      <c r="F98" s="70" t="inlineStr">
        <is>
          <t>A PRO disputes a benefit redemption decision at the register. No store-level override is permitted. The issue is escalated above store level through a defined workflow to prevent fraud.</t>
        </is>
      </c>
      <c r="G98" s="70" t="inlineStr">
        <is>
          <t>SO-WF-8, PPR-PC-4</t>
        </is>
      </c>
      <c r="H98" s="70" t="inlineStr">
        <is>
          <t>AC: [Author TBD] Write Given/When/Then for happy path + edge cases.
    - Happy path: …
    - Edge case 1: …
    - Edge case 2: …
Definition of Ready: at least 2 ACs written and 0 unresolved Decision Log items.</t>
        </is>
      </c>
      <c r="I98" s="70" t="inlineStr">
        <is>
          <t>Escalation workflow to be defined. No associate or store manager can directly override redemption outcomes.</t>
        </is>
      </c>
      <c r="J98" s="70" t="inlineStr">
        <is>
          <t>Beta</t>
        </is>
      </c>
      <c r="K98" s="70" t="inlineStr">
        <is>
          <t>System</t>
        </is>
      </c>
      <c r="L98" s="70" t="inlineStr">
        <is>
          <t>No</t>
        </is>
      </c>
      <c r="M98" s="70" t="n"/>
      <c r="N98" s="70" t="inlineStr">
        <is>
          <t>Not Started</t>
        </is>
      </c>
      <c r="O98" s="70" t="n"/>
    </row>
    <row r="99">
      <c r="A99" s="70" t="n">
        <v>98</v>
      </c>
      <c r="B99" s="70" t="inlineStr">
        <is>
          <t>WS3 — WS 3: Transaction &amp; Spend Ingestion</t>
        </is>
      </c>
      <c r="C99" s="70" t="inlineStr">
        <is>
          <t>E-WS3.4</t>
        </is>
      </c>
      <c r="D99" s="70" t="inlineStr">
        <is>
          <t>Store Operations</t>
        </is>
      </c>
      <c r="E99" s="70" t="inlineStr">
        <is>
          <t>Return automatically adjusts F&amp;D Bucks and rebate accrual</t>
        </is>
      </c>
      <c r="F99" s="70" t="inlineStr">
        <is>
          <t>A PRO returns a purchase. POS automatically adjusts the account's F&amp;D Bucks balance and/or rebate accrual based on the return value, according to the financial award business rules.</t>
        </is>
      </c>
      <c r="G99" s="70" t="inlineStr">
        <is>
          <t>SO-WF-9, M-GC-2, E-CR-5, M-CR-3</t>
        </is>
      </c>
      <c r="H99" s="70" t="inlineStr">
        <is>
          <t>AC-1: GIVEN a return for a transaction that earned F&amp;D Bucks and rebate
       WHEN return is processed at POS
       THEN loyalty engine reduces eligible spend and rebate accrual in real time
       AND F&amp;D Bucks treatment follows UC-142 (void or refund-deduct)
AC-2: GIVEN the return drops spend below tier threshold
       WHEN return is finalized
       THEN tier evaluation re-runs and downgrade applies per UC-3</t>
        </is>
      </c>
      <c r="I99" s="70" t="inlineStr">
        <is>
          <t>Adjustment rules must be defined in the Financial Award business requirements. Loyalty engine must process TRANSACTION_REVERSED events and update financial award projections accordingly.</t>
        </is>
      </c>
      <c r="J99" s="70" t="inlineStr">
        <is>
          <t>Beta</t>
        </is>
      </c>
      <c r="K99" s="70" t="inlineStr">
        <is>
          <t>System</t>
        </is>
      </c>
      <c r="L99" s="70" t="inlineStr">
        <is>
          <t>No</t>
        </is>
      </c>
      <c r="M99" s="70" t="n"/>
      <c r="N99" s="70" t="inlineStr">
        <is>
          <t>Not Started</t>
        </is>
      </c>
      <c r="O99" s="70" t="n"/>
    </row>
    <row r="100">
      <c r="A100" s="70" t="n">
        <v>99</v>
      </c>
      <c r="B100" s="70" t="inlineStr">
        <is>
          <t>WS8 — WS 8: CRM Systems Enablement</t>
        </is>
      </c>
      <c r="C100" s="70" t="inlineStr">
        <is>
          <t>E-WS8.2</t>
        </is>
      </c>
      <c r="D100" s="70" t="inlineStr">
        <is>
          <t>Account and Identity</t>
        </is>
      </c>
      <c r="E100" s="70" t="inlineStr">
        <is>
          <t>Homeowner enrolls and participates in the 4-tier program</t>
        </is>
      </c>
      <c r="F100" s="70" t="inlineStr">
        <is>
          <t>A homeowner (non-PRO) enrolls in the loyalty program. They participate under the same 4-tier structure and reward model as PRO customers. No homeowner-specific benefits exist — they earn and redeem the same as any other account.</t>
        </is>
      </c>
      <c r="G100" s="70" t="inlineStr">
        <is>
          <t>CRM-AS-3</t>
        </is>
      </c>
      <c r="H100" s="70" t="inlineStr">
        <is>
          <t>AC: [Author TBD] Write Given/When/Then for happy path + edge cases.
    - Happy path: …
    - Edge case 1: …
    - Edge case 2: …
Definition of Ready: at least 2 ACs written and 0 unresolved Decision Log items.</t>
        </is>
      </c>
      <c r="I100" s="70" t="inlineStr">
        <is>
          <t>Program is not marketed to homeowners but they are not blocked from enrolling. No homeowner-specific logic required in the loyalty engine.</t>
        </is>
      </c>
      <c r="J100" s="70" t="inlineStr">
        <is>
          <t>Full Launch</t>
        </is>
      </c>
      <c r="K100" s="70" t="inlineStr">
        <is>
          <t>System</t>
        </is>
      </c>
      <c r="L100" s="70" t="inlineStr">
        <is>
          <t>No</t>
        </is>
      </c>
      <c r="M100" s="70" t="n"/>
      <c r="N100" s="70" t="inlineStr">
        <is>
          <t>Not Started</t>
        </is>
      </c>
      <c r="O100" s="70" t="n"/>
    </row>
    <row r="101">
      <c r="A101" s="70" t="n">
        <v>100</v>
      </c>
      <c r="B101" s="70" t="inlineStr">
        <is>
          <t>WS12 — WS 12: POS / Store Workflows (Veras)</t>
        </is>
      </c>
      <c r="C101" s="70" t="inlineStr">
        <is>
          <t>E-WS12.1</t>
        </is>
      </c>
      <c r="D101" s="70" t="inlineStr">
        <is>
          <t>Account and Identity</t>
        </is>
      </c>
      <c r="E101" s="70" t="inlineStr">
        <is>
          <t>Account identified and resolved via UCI at POS and enrollment</t>
        </is>
      </c>
      <c r="F101" s="70" t="inlineStr">
        <is>
          <t>The Unique Customer Identifier (UCI), generated and propagated by Salesforce (Aries-209), is used to identify and resolve accounts at POS checkout and during enrollment. All downstream systems reference the UCI as the canonical account identifier.</t>
        </is>
      </c>
      <c r="G101" s="70" t="inlineStr">
        <is>
          <t>SO-AI-1, E-OA-5, CRM-DF-5, CRM-CM-9, CRM-AS-21</t>
        </is>
      </c>
      <c r="H101" s="70" t="inlineStr">
        <is>
          <t>AC-1: GIVEN PRO presents QR at POS
       WHEN QR is scanned
       THEN POS resolves UCI in &lt;2s and displays account name + tier
AC-2: GIVEN QR scan fails or yields no result
       WHEN associate retries via account ID / email / phone
       THEN POS attempts each method per SO-AI-1
AC-3: GIVEN no method finds the account
       WHEN sale proceeds
       THEN transaction is flagged retro-attributable</t>
        </is>
      </c>
      <c r="I101" s="70" t="inlineStr">
        <is>
          <t>UCI generation is a dependency on the Aries-209 project. Loyalty engine must be designed to accept accountNumber from any source as a fallback if UCI is not yet available at Beta launch.</t>
        </is>
      </c>
      <c r="J101" s="70" t="inlineStr">
        <is>
          <t>Beta</t>
        </is>
      </c>
      <c r="K101" s="70" t="inlineStr">
        <is>
          <t>Relationship</t>
        </is>
      </c>
      <c r="L101" s="70" t="inlineStr">
        <is>
          <t>Yes</t>
        </is>
      </c>
      <c r="M101" s="70" t="n"/>
      <c r="N101" s="70" t="inlineStr">
        <is>
          <t>Not Started</t>
        </is>
      </c>
      <c r="O101" s="70" t="n"/>
    </row>
    <row r="102">
      <c r="A102" s="70" t="n">
        <v>101</v>
      </c>
      <c r="B102" s="70" t="inlineStr">
        <is>
          <t>WS9 — WS 9: Finance &amp; Oracle ERP Integration</t>
        </is>
      </c>
      <c r="C102" s="70" t="inlineStr">
        <is>
          <t>E-WS9.3</t>
        </is>
      </c>
      <c r="D102" s="70" t="inlineStr">
        <is>
          <t>Finance and Accounting</t>
        </is>
      </c>
      <c r="E102" s="70" t="inlineStr">
        <is>
          <t>F&amp;D Bucks voided with SOX-compliant audit trail</t>
        </is>
      </c>
      <c r="F102" s="70" t="inlineStr">
        <is>
          <t>F&amp;D Bucks are voided (e.g. due to expiry, fraud, or program adjustment). The voiding event is recorded in the immutable consumption log with full audit trail — who voided, when, why, and which account.</t>
        </is>
      </c>
      <c r="G102" s="70" t="inlineStr">
        <is>
          <t>FA-ACT-4, FA-ACT-6</t>
        </is>
      </c>
      <c r="H102" s="70" t="inlineStr">
        <is>
          <t>AC: [Author TBD] Write Given/When/Then for happy path + edge cases.
    - Happy path: …
    - Edge case 1: …
    - Edge case 2: …
Definition of Ready: at least 2 ACs written and 0 unresolved Decision Log items.</t>
        </is>
      </c>
      <c r="I102" s="70" t="inlineStr">
        <is>
          <t>SOX requirement. Voiding must be traceable from original issuance through to void. Immutable event log provides the audit foundation.</t>
        </is>
      </c>
      <c r="J102" s="70" t="inlineStr">
        <is>
          <t>Beta</t>
        </is>
      </c>
      <c r="K102" s="70" t="inlineStr">
        <is>
          <t>System</t>
        </is>
      </c>
      <c r="L102" s="70" t="inlineStr">
        <is>
          <t>No</t>
        </is>
      </c>
      <c r="M102" s="70" t="n"/>
      <c r="N102" s="70" t="inlineStr">
        <is>
          <t>Not Started</t>
        </is>
      </c>
      <c r="O102" s="70" t="n"/>
    </row>
    <row r="103">
      <c r="A103" s="70" t="n">
        <v>102</v>
      </c>
      <c r="B103" s="70" t="inlineStr">
        <is>
          <t>WS9 — WS 9: Finance &amp; Oracle ERP Integration</t>
        </is>
      </c>
      <c r="C103" s="70" t="inlineStr">
        <is>
          <t>E-WS9.2</t>
        </is>
      </c>
      <c r="D103" s="70" t="inlineStr">
        <is>
          <t>Finance and Accounting</t>
        </is>
      </c>
      <c r="E103" s="70" t="inlineStr">
        <is>
          <t>Rebate payout approved via Oracle ERP before disbursement</t>
        </is>
      </c>
      <c r="F103" s="70" t="inlineStr">
        <is>
          <t>A cash-back rebate reaches a payout threshold. Before disbursement, the payout must be approved via Oracle ERP. The loyalty engine generates the payout record; Oracle approval is required before the third-party disbursement provider is triggered.</t>
        </is>
      </c>
      <c r="G103" s="70" t="inlineStr">
        <is>
          <t>R-CR-3</t>
        </is>
      </c>
      <c r="H103" s="70" t="inlineStr">
        <is>
          <t>AC: [Author TBD] Write Given/When/Then for happy path + edge cases.
    - Happy path: …
    - Edge case 1: …
    - Edge case 2: …
Definition of Ready: at least 2 ACs written and 0 unresolved Decision Log items.</t>
        </is>
      </c>
      <c r="I103" s="70" t="inlineStr">
        <is>
          <t>Two-step flow: loyalty generates payout record → Oracle approves → disbursement provider executes. Oracle integration scope TBD pending Zachary Pion conversation.</t>
        </is>
      </c>
      <c r="J103" s="70" t="inlineStr">
        <is>
          <t>Full Launch</t>
        </is>
      </c>
      <c r="K103" s="70" t="inlineStr">
        <is>
          <t>System</t>
        </is>
      </c>
      <c r="L103" s="70" t="inlineStr">
        <is>
          <t>No</t>
        </is>
      </c>
      <c r="M103" s="70" t="n"/>
      <c r="N103" s="70" t="inlineStr">
        <is>
          <t>Not Started</t>
        </is>
      </c>
      <c r="O103" s="70" t="n"/>
    </row>
    <row r="104">
      <c r="A104" s="70" t="n">
        <v>103</v>
      </c>
      <c r="B104" s="70" t="inlineStr">
        <is>
          <t>WS9 — WS 9: Finance &amp; Oracle ERP Integration</t>
        </is>
      </c>
      <c r="C104" s="70" t="inlineStr">
        <is>
          <t>E-WS9.3</t>
        </is>
      </c>
      <c r="D104" s="70" t="inlineStr">
        <is>
          <t>Finance and Accounting</t>
        </is>
      </c>
      <c r="E104" s="70" t="inlineStr">
        <is>
          <t>SOX audit trail query for full financial award lifecycle</t>
        </is>
      </c>
      <c r="F104" s="70" t="inlineStr">
        <is>
          <t>Finance or Compliance queries the complete, tamper-evident audit trail for a financial award — from the originating transaction through tier qualification, award issuance, selection (rebate vs F&amp;D Bucks), and payout or redemption.</t>
        </is>
      </c>
      <c r="G104" s="70" t="inlineStr">
        <is>
          <t>FA-ACT-4, FA-ACT-6</t>
        </is>
      </c>
      <c r="H104" s="70" t="inlineStr">
        <is>
          <t>AC: [Author TBD] Write Given/When/Then for happy path + edge cases.
    - Happy path: …
    - Edge case 1: …
    - Edge case 2: …
Definition of Ready: at least 2 ACs written and 0 unresolved Decision Log items.</t>
        </is>
      </c>
      <c r="I104" s="70" t="inlineStr">
        <is>
          <t>Must be queryable by account, by time period, and by award type. Immutable consumption log is the source of truth.</t>
        </is>
      </c>
      <c r="J104" s="70" t="inlineStr">
        <is>
          <t>Beta</t>
        </is>
      </c>
      <c r="K104" s="70" t="inlineStr">
        <is>
          <t>System</t>
        </is>
      </c>
      <c r="L104" s="70" t="inlineStr">
        <is>
          <t>No</t>
        </is>
      </c>
      <c r="M104" s="70" t="n"/>
      <c r="N104" s="70" t="inlineStr">
        <is>
          <t>Not Started</t>
        </is>
      </c>
      <c r="O104" s="70" t="n"/>
    </row>
    <row r="105">
      <c r="A105" s="70" t="n">
        <v>104</v>
      </c>
      <c r="B105" s="70" t="inlineStr">
        <is>
          <t>WS11 — WS 11: E-commerce Web</t>
        </is>
      </c>
      <c r="C105" s="70" t="inlineStr">
        <is>
          <t>E-WS11.1</t>
        </is>
      </c>
      <c r="D105" s="70" t="inlineStr">
        <is>
          <t>eCommerce</t>
        </is>
      </c>
      <c r="E105" s="70" t="inlineStr">
        <is>
          <t>Online purchase attributed to loyalty account</t>
        </is>
      </c>
      <c r="F105" s="70" t="inlineStr">
        <is>
          <t>A PRO completes a purchase on the F&amp;D website. The transaction is attributed to their loyalty account with the same rules as an in-store transaction — spend aggregates updated, tier evaluated, Amps awarded.</t>
        </is>
      </c>
      <c r="G105" s="70" t="inlineStr">
        <is>
          <t>E-OA-4, E-OA-5</t>
        </is>
      </c>
      <c r="H105" s="70" t="inlineStr">
        <is>
          <t>AC: [Author TBD] Write Given/When/Then for happy path + edge cases.
    - Happy path: …
    - Edge case 1: …
    - Edge case 2: …
Definition of Ready: at least 2 ACs written and 0 unresolved Decision Log items.</t>
        </is>
      </c>
      <c r="I105" s="70" t="inlineStr">
        <is>
          <t>eCommerce platform identity TBD. Same TRANSACTION_OBSERVED event shape as POS. PRO must be logged into their loyalty account prior to checkout.</t>
        </is>
      </c>
      <c r="J105" s="70" t="inlineStr">
        <is>
          <t>Beta</t>
        </is>
      </c>
      <c r="K105" s="70" t="inlineStr">
        <is>
          <t>Relationship</t>
        </is>
      </c>
      <c r="L105" s="70" t="inlineStr">
        <is>
          <t>Yes</t>
        </is>
      </c>
      <c r="M105" s="70" t="n"/>
      <c r="N105" s="70" t="inlineStr">
        <is>
          <t>Not Started</t>
        </is>
      </c>
      <c r="O105" s="70" t="n"/>
    </row>
    <row r="106">
      <c r="A106" s="70" t="n">
        <v>105</v>
      </c>
      <c r="B106" s="70" t="inlineStr">
        <is>
          <t>WS11 — WS 11: E-commerce Web</t>
        </is>
      </c>
      <c r="C106" s="70" t="inlineStr">
        <is>
          <t>E-WS11.1</t>
        </is>
      </c>
      <c r="D106" s="70" t="inlineStr">
        <is>
          <t>eCommerce</t>
        </is>
      </c>
      <c r="E106" s="70" t="inlineStr">
        <is>
          <t>F&amp;D Bucks redeemed at eCommerce checkout</t>
        </is>
      </c>
      <c r="F106" s="70" t="inlineStr">
        <is>
          <t>A PRO redeems F&amp;D Bucks from their digital wallet during an online checkout on the F&amp;D website. Redemption is validated against the loyalty engine in real time. Balance updated.</t>
        </is>
      </c>
      <c r="G106" s="70" t="inlineStr">
        <is>
          <t>R-GC-1, R-GC-4</t>
        </is>
      </c>
      <c r="H106" s="70" t="inlineStr">
        <is>
          <t>AC: [Author TBD] Write Given/When/Then for happy path + edge cases.
    - Happy path: …
    - Edge case 1: …
    - Edge case 2: …
Definition of Ready: at least 2 ACs written and 0 unresolved Decision Log items.</t>
        </is>
      </c>
      <c r="I106" s="70" t="inlineStr">
        <is>
          <t>Must be supported at Beta alongside POS and Pro App redemption.</t>
        </is>
      </c>
      <c r="J106" s="70" t="inlineStr">
        <is>
          <t>Beta</t>
        </is>
      </c>
      <c r="K106" s="70" t="inlineStr">
        <is>
          <t>Relationship</t>
        </is>
      </c>
      <c r="L106" s="70" t="inlineStr">
        <is>
          <t>Yes</t>
        </is>
      </c>
      <c r="M106" s="70" t="n"/>
      <c r="N106" s="70" t="inlineStr">
        <is>
          <t>Not Started</t>
        </is>
      </c>
      <c r="O106" s="70" t="n"/>
    </row>
    <row r="107">
      <c r="A107" s="70" t="n">
        <v>106</v>
      </c>
      <c r="B107" s="70" t="inlineStr">
        <is>
          <t>WS11 — WS 11: E-commerce Web</t>
        </is>
      </c>
      <c r="C107" s="70" t="inlineStr">
        <is>
          <t>E-WS11.3</t>
        </is>
      </c>
      <c r="D107" s="70" t="inlineStr">
        <is>
          <t>eCommerce</t>
        </is>
      </c>
      <c r="E107" s="70" t="inlineStr">
        <is>
          <t>Delivery benefit applied on eCommerce order</t>
        </is>
      </c>
      <c r="F107" s="70" t="inlineStr">
        <is>
          <t>A PRO places an online order with delivery. Delivery benefit eligibility is checked against the loyalty engine. If eligible, delivery fee is waived and usage is tracked against the account's benefit allotment.</t>
        </is>
      </c>
      <c r="G107" s="70" t="inlineStr">
        <is>
          <t>D-EM-7, D-EM-10</t>
        </is>
      </c>
      <c r="H107" s="70" t="inlineStr">
        <is>
          <t>AC: [Author TBD] Write Given/When/Then for happy path + edge cases.
    - Happy path: …
    - Edge case 1: …
    - Edge case 2: …
Definition of Ready: at least 2 ACs written and 0 unresolved Decision Log items.</t>
        </is>
      </c>
      <c r="I107" s="70" t="inlineStr">
        <is>
          <t>Same eligibility rules as in-store delivery. Usage tracking must reflect both in-store and online delivery consumption against the account's allotment.</t>
        </is>
      </c>
      <c r="J107" s="70" t="inlineStr">
        <is>
          <t>Beta</t>
        </is>
      </c>
      <c r="K107" s="70" t="inlineStr">
        <is>
          <t>Relationship</t>
        </is>
      </c>
      <c r="L107" s="70" t="inlineStr">
        <is>
          <t>Yes</t>
        </is>
      </c>
      <c r="M107" s="70" t="n"/>
      <c r="N107" s="70" t="inlineStr">
        <is>
          <t>Not Started</t>
        </is>
      </c>
      <c r="O107" s="70" t="n"/>
    </row>
    <row r="108">
      <c r="A108" s="70" t="n">
        <v>107</v>
      </c>
      <c r="B108" s="70" t="inlineStr">
        <is>
          <t>WS16 — WS 16: Platform Infrastructure &amp; DevOps</t>
        </is>
      </c>
      <c r="C108" s="70" t="inlineStr">
        <is>
          <t>E-WS16.1</t>
        </is>
      </c>
      <c r="D108" s="70" t="inlineStr">
        <is>
          <t>Pro App / BFF</t>
        </is>
      </c>
      <c r="E108" s="70" t="inlineStr">
        <is>
          <t>Feature flag toggles loyalty feature in Pro App without app release</t>
        </is>
      </c>
      <c r="F108" s="70" t="inlineStr">
        <is>
          <t>A loyalty feature in the Pro App is enabled or disabled via a feature flag in the BFF (Backend-for-Frontend) layer. No app release or store submission is required. The BFF controls feature exposure dynamically.</t>
        </is>
      </c>
      <c r="G108" s="70" t="inlineStr">
        <is>
          <t>System design — no specific business rule</t>
        </is>
      </c>
      <c r="H108" s="70" t="inlineStr">
        <is>
          <t>AC: [Author TBD] Write Given/When/Then for happy path + edge cases.
    - Happy path: …
    - Edge case 1: …
    - Edge case 2: …
Definition of Ready: at least 2 ACs written and 0 unresolved Decision Log items.</t>
        </is>
      </c>
      <c r="I108" s="70" t="inlineStr">
        <is>
          <t>BFF is the operational control plane for the Pro App. Loyalty API contracts must be stable for the BFF to consume — flag-gating is a BFF concern, not a loyalty engine concern.</t>
        </is>
      </c>
      <c r="J108" s="70" t="inlineStr">
        <is>
          <t>Beta</t>
        </is>
      </c>
      <c r="K108" s="70" t="inlineStr">
        <is>
          <t>System</t>
        </is>
      </c>
      <c r="L108" s="70" t="inlineStr">
        <is>
          <t>No</t>
        </is>
      </c>
      <c r="M108" s="70" t="n"/>
      <c r="N108" s="70" t="inlineStr">
        <is>
          <t>Not Started</t>
        </is>
      </c>
      <c r="O108" s="70" t="n"/>
    </row>
    <row r="109">
      <c r="A109" s="70" t="n">
        <v>108</v>
      </c>
      <c r="B109" s="70" t="inlineStr">
        <is>
          <t>WS16 — WS 16: Platform Infrastructure &amp; DevOps</t>
        </is>
      </c>
      <c r="C109" s="70" t="inlineStr">
        <is>
          <t>E-WS16.2</t>
        </is>
      </c>
      <c r="D109" s="70" t="inlineStr">
        <is>
          <t>Pro App / BFF</t>
        </is>
      </c>
      <c r="E109" s="70" t="inlineStr">
        <is>
          <t>BFF serves cached loyalty state during loyalty service degradation</t>
        </is>
      </c>
      <c r="F109" s="70" t="inlineStr">
        <is>
          <t>The loyalty engine is temporarily unavailable. The BFF serves the last cached loyalty state to the Pro App — tier, benefits, wallet balance — rather than showing an error. App remains functional with a staleness indicator.</t>
        </is>
      </c>
      <c r="G109" s="70" t="inlineStr">
        <is>
          <t>System design — no specific business rule</t>
        </is>
      </c>
      <c r="H109" s="70" t="inlineStr">
        <is>
          <t>AC: [Author TBD] Write Given/When/Then for happy path + edge cases.
    - Happy path: …
    - Edge case 1: …
    - Edge case 2: …
Definition of Ready: at least 2 ACs written and 0 unresolved Decision Log items.</t>
        </is>
      </c>
      <c r="I109" s="70" t="inlineStr">
        <is>
          <t>BFF resilience pattern. Cache TTL and staleness indicator design owned by the Pro App / BFF team. Loyalty engine should provide cache-friendly responses (ETags, last-modified headers).</t>
        </is>
      </c>
      <c r="J109" s="70" t="inlineStr">
        <is>
          <t>Beta</t>
        </is>
      </c>
      <c r="K109" s="70" t="inlineStr">
        <is>
          <t>N/A</t>
        </is>
      </c>
      <c r="L109" s="70" t="inlineStr">
        <is>
          <t>No</t>
        </is>
      </c>
      <c r="M109" s="70" t="n"/>
      <c r="N109" s="70" t="inlineStr">
        <is>
          <t>Not Started</t>
        </is>
      </c>
      <c r="O109" s="70"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11" customWidth="1" min="3" max="3"/>
    <col width="24" customWidth="1" min="4" max="4"/>
    <col width="50" customWidth="1" min="5" max="5"/>
    <col width="70" customWidth="1" min="6" max="6"/>
    <col width="24" customWidth="1" min="7" max="7"/>
    <col width="60" customWidth="1" min="8" max="8"/>
    <col width="36" customWidth="1" min="9" max="9"/>
    <col width="14" customWidth="1" min="10" max="10"/>
    <col width="16" customWidth="1" min="11" max="11"/>
    <col width="14" customWidth="1" min="12" max="12"/>
    <col width="10" customWidth="1" min="13" max="13"/>
    <col width="14" customWidth="1" min="14" max="14"/>
    <col width="10" customWidth="1" min="15" max="15"/>
  </cols>
  <sheetData>
    <row r="1">
      <c r="A1" s="69" t="inlineStr">
        <is>
          <t>ID</t>
        </is>
      </c>
      <c r="B1" s="69" t="inlineStr">
        <is>
          <t>Workstream</t>
        </is>
      </c>
      <c r="C1" s="69" t="inlineStr">
        <is>
          <t>Epic</t>
        </is>
      </c>
      <c r="D1" s="69" t="inlineStr">
        <is>
          <t>Category</t>
        </is>
      </c>
      <c r="E1" s="69" t="inlineStr">
        <is>
          <t>Use Case</t>
        </is>
      </c>
      <c r="F1" s="69" t="inlineStr">
        <is>
          <t>Description</t>
        </is>
      </c>
      <c r="G1" s="69" t="inlineStr">
        <is>
          <t>Source Requirement(s)</t>
        </is>
      </c>
      <c r="H1" s="69" t="inlineStr">
        <is>
          <t>Acceptance Criteria</t>
        </is>
      </c>
      <c r="I1" s="69" t="inlineStr">
        <is>
          <t>Notes / Open Questions</t>
        </is>
      </c>
      <c r="J1" s="69" t="inlineStr">
        <is>
          <t>Launch Timing</t>
        </is>
      </c>
      <c r="K1" s="69" t="inlineStr">
        <is>
          <t>Permission Model</t>
        </is>
      </c>
      <c r="L1" s="69" t="inlineStr">
        <is>
          <t>Checkout Critical Path?</t>
        </is>
      </c>
      <c r="M1" s="69" t="inlineStr">
        <is>
          <t>Priority</t>
        </is>
      </c>
      <c r="N1" s="69" t="inlineStr">
        <is>
          <t>Status</t>
        </is>
      </c>
      <c r="O1" s="69" t="inlineStr">
        <is>
          <t>Sprint</t>
        </is>
      </c>
    </row>
    <row r="2">
      <c r="A2" s="70" t="n">
        <v>109</v>
      </c>
      <c r="B2" s="70" t="inlineStr">
        <is>
          <t>MP — MyProject Modifications / Integrations</t>
        </is>
      </c>
      <c r="C2" s="70" t="inlineStr">
        <is>
          <t>E-MP.1</t>
        </is>
      </c>
      <c r="D2" s="70" t="inlineStr">
        <is>
          <t>Credit</t>
        </is>
      </c>
      <c r="E2" s="70" t="inlineStr">
        <is>
          <t>Credit entry point displayed in PRO app</t>
        </is>
      </c>
      <c r="F2" s="70" t="inlineStr">
        <is>
          <t>PRO app surfaces a clear, configurable credit entry point that routes to the approved credit information / application destination via link-out or handoff. App tracks placement and engagement with the entry point.</t>
        </is>
      </c>
      <c r="G2" s="70" t="inlineStr">
        <is>
          <t>C-1</t>
        </is>
      </c>
      <c r="H2" s="70" t="inlineStr">
        <is>
          <t>AC: [Author TBD] Write Given/When/Then for happy path + edge cases.
    - Happy path: …
    - Edge case 1: …
    - Edge case 2: …
Definition of Ready: at least 2 ACs written and 0 unresolved Decision Log items.</t>
        </is>
      </c>
      <c r="I2" s="70" t="inlineStr">
        <is>
          <t>Out of scope: credit product design, underwriting, approval, servicing. Placement locations TBD.</t>
        </is>
      </c>
      <c r="J2" s="70" t="inlineStr">
        <is>
          <t>Beta</t>
        </is>
      </c>
      <c r="K2" s="70" t="inlineStr">
        <is>
          <t>N/A</t>
        </is>
      </c>
      <c r="L2" s="70" t="inlineStr">
        <is>
          <t>No</t>
        </is>
      </c>
      <c r="M2" s="70" t="n"/>
      <c r="N2" s="70" t="inlineStr">
        <is>
          <t>Not Started</t>
        </is>
      </c>
      <c r="O2" s="70" t="n"/>
    </row>
    <row r="3">
      <c r="A3" s="70" t="n">
        <v>110</v>
      </c>
      <c r="B3" s="70" t="inlineStr">
        <is>
          <t>MP — MyProject Modifications / Integrations</t>
        </is>
      </c>
      <c r="C3" s="70" t="inlineStr">
        <is>
          <t>E-MP.1</t>
        </is>
      </c>
      <c r="D3" s="70" t="inlineStr">
        <is>
          <t>Credit</t>
        </is>
      </c>
      <c r="E3" s="70" t="inlineStr">
        <is>
          <t>PRO initiates credit card application from PRO app</t>
        </is>
      </c>
      <c r="F3" s="70" t="inlineStr">
        <is>
          <t>PRO taps the in-app credit entry point and is securely handed off to the credit application flow. App passes available user information where permitted by the credit partner.</t>
        </is>
      </c>
      <c r="G3" s="70" t="inlineStr">
        <is>
          <t>C-2</t>
        </is>
      </c>
      <c r="H3" s="70" t="inlineStr">
        <is>
          <t>AC: [Author TBD] Write Given/When/Then for happy path + edge cases.
    - Happy path: …
    - Edge case 1: …
    - Edge case 2: …
Definition of Ready: at least 2 ACs written and 0 unresolved Decision Log items.</t>
        </is>
      </c>
      <c r="I3" s="70" t="inlineStr">
        <is>
          <t>Info pass-through scope subject to credit partner agreement.</t>
        </is>
      </c>
      <c r="J3" s="70" t="inlineStr">
        <is>
          <t>Beta</t>
        </is>
      </c>
      <c r="K3" s="70" t="inlineStr">
        <is>
          <t>Relationship</t>
        </is>
      </c>
      <c r="L3" s="70" t="inlineStr">
        <is>
          <t>No</t>
        </is>
      </c>
      <c r="M3" s="70" t="n"/>
      <c r="N3" s="70" t="inlineStr">
        <is>
          <t>Not Started</t>
        </is>
      </c>
      <c r="O3" s="70" t="n"/>
    </row>
    <row r="4">
      <c r="A4" s="70" t="n">
        <v>111</v>
      </c>
      <c r="B4" s="70" t="inlineStr">
        <is>
          <t>MP — MyProject Modifications / Integrations</t>
        </is>
      </c>
      <c r="C4" s="70" t="inlineStr">
        <is>
          <t>E-MP.1</t>
        </is>
      </c>
      <c r="D4" s="70" t="inlineStr">
        <is>
          <t>Credit</t>
        </is>
      </c>
      <c r="E4" s="70" t="inlineStr">
        <is>
          <t>Credit application engagement and outcome tracked</t>
        </is>
      </c>
      <c r="F4" s="70" t="inlineStr">
        <is>
          <t>App captures application starts (and downstream outcomes where credit partner provides feedback) to support funnel reporting on credit acquisition.</t>
        </is>
      </c>
      <c r="G4" s="70" t="inlineStr">
        <is>
          <t>C-1, C-2</t>
        </is>
      </c>
      <c r="H4" s="70" t="inlineStr">
        <is>
          <t>AC: [Author TBD] Write Given/When/Then for happy path + edge cases.
    - Happy path: …
    - Edge case 1: …
    - Edge case 2: …
Definition of Ready: at least 2 ACs written and 0 unresolved Decision Log items.</t>
        </is>
      </c>
      <c r="I4" s="70" t="inlineStr">
        <is>
          <t>Outcome data feed format / availability TBD with credit partner.</t>
        </is>
      </c>
      <c r="J4" s="70" t="inlineStr">
        <is>
          <t>Full Launch</t>
        </is>
      </c>
      <c r="K4" s="70" t="inlineStr">
        <is>
          <t>System</t>
        </is>
      </c>
      <c r="L4" s="70" t="inlineStr">
        <is>
          <t>No</t>
        </is>
      </c>
      <c r="M4" s="70" t="n"/>
      <c r="N4" s="70" t="inlineStr">
        <is>
          <t>Not Started</t>
        </is>
      </c>
      <c r="O4" s="70" t="n"/>
    </row>
    <row r="5">
      <c r="A5" s="70" t="n">
        <v>112</v>
      </c>
      <c r="B5" s="70" t="inlineStr">
        <is>
          <t>WS5 — WS 5: Offers &amp; Benefit Fulfillment (Delivery, Samples, Bid Room)</t>
        </is>
      </c>
      <c r="C5" s="70" t="inlineStr">
        <is>
          <t>E-WS5.1</t>
        </is>
      </c>
      <c r="D5" s="70" t="inlineStr">
        <is>
          <t>Delivery Benefit</t>
        </is>
      </c>
      <c r="E5" s="70" t="inlineStr">
        <is>
          <t>Multi-shipment fulfillment counts as one delivery against allotment</t>
        </is>
      </c>
      <c r="F5" s="70" t="inlineStr">
        <is>
          <t>A Gold-tier order fulfilled in multiple shipments (e.g., split across stores) decrements the annual Gold delivery counter by one, not by shipment count.</t>
        </is>
      </c>
      <c r="G5" s="70" t="inlineStr">
        <is>
          <t>D-EM-1</t>
        </is>
      </c>
      <c r="H5" s="70" t="inlineStr">
        <is>
          <t>AC: [Author TBD] Write Given/When/Then for happy path + edge cases.
    - Happy path: …
    - Edge case 1: …
    - Edge case 2: …
Definition of Ready: at least 2 ACs written and 0 unresolved Decision Log items.</t>
        </is>
      </c>
      <c r="I5" s="70" t="inlineStr">
        <is>
          <t>Clarifies counting logic when order is split.</t>
        </is>
      </c>
      <c r="J5" s="70" t="inlineStr">
        <is>
          <t>Beta</t>
        </is>
      </c>
      <c r="K5" s="70" t="inlineStr">
        <is>
          <t>System</t>
        </is>
      </c>
      <c r="L5" s="70" t="inlineStr">
        <is>
          <t>No</t>
        </is>
      </c>
      <c r="M5" s="70" t="n"/>
      <c r="N5" s="70" t="inlineStr">
        <is>
          <t>Not Started</t>
        </is>
      </c>
      <c r="O5" s="70" t="n"/>
    </row>
    <row r="6">
      <c r="A6" s="70" t="n">
        <v>113</v>
      </c>
      <c r="B6" s="70" t="inlineStr">
        <is>
          <t>WS5 — WS 5: Offers &amp; Benefit Fulfillment (Delivery, Samples, Bid Room)</t>
        </is>
      </c>
      <c r="C6" s="70" t="inlineStr">
        <is>
          <t>E-WS5.1</t>
        </is>
      </c>
      <c r="D6" s="70" t="inlineStr">
        <is>
          <t>Delivery Benefit</t>
        </is>
      </c>
      <c r="E6" s="70" t="inlineStr">
        <is>
          <t>Gift cards excluded from $2K delivery threshold</t>
        </is>
      </c>
      <c r="F6" s="70" t="inlineStr">
        <is>
          <t>Loyalty engine excludes gift card SKUs from net eligible spend when evaluating the $2K free-delivery threshold.</t>
        </is>
      </c>
      <c r="G6" s="70" t="inlineStr">
        <is>
          <t>D-EM-2, D-EM-9</t>
        </is>
      </c>
      <c r="H6" s="70" t="inlineStr">
        <is>
          <t>AC: [Author TBD] Write Given/When/Then for happy path + edge cases.
    - Happy path: …
    - Edge case 1: …
    - Edge case 2: …
Definition of Ready: at least 2 ACs written and 0 unresolved Decision Log items.</t>
        </is>
      </c>
      <c r="I6" s="70" t="n"/>
      <c r="J6" s="70" t="inlineStr">
        <is>
          <t>Beta</t>
        </is>
      </c>
      <c r="K6" s="70" t="inlineStr">
        <is>
          <t>System</t>
        </is>
      </c>
      <c r="L6" s="70" t="inlineStr">
        <is>
          <t>Yes</t>
        </is>
      </c>
      <c r="M6" s="70" t="n"/>
      <c r="N6" s="70" t="inlineStr">
        <is>
          <t>Not Started</t>
        </is>
      </c>
      <c r="O6" s="70" t="n"/>
    </row>
    <row r="7">
      <c r="A7" s="70" t="n">
        <v>114</v>
      </c>
      <c r="B7" s="70" t="inlineStr">
        <is>
          <t>WS5 — WS 5: Offers &amp; Benefit Fulfillment (Delivery, Samples, Bid Room)</t>
        </is>
      </c>
      <c r="C7" s="70" t="inlineStr">
        <is>
          <t>E-WS5.1</t>
        </is>
      </c>
      <c r="D7" s="70" t="inlineStr">
        <is>
          <t>Delivery Benefit</t>
        </is>
      </c>
      <c r="E7" s="70" t="inlineStr">
        <is>
          <t>Order edited or partially returned pre-fulfillment drops below $2K — free delivery removed</t>
        </is>
      </c>
      <c r="F7" s="70" t="inlineStr">
        <is>
          <t>A Gold-tier order qualifying for free delivery is edited or partially returned before fulfillment, reducing net eligible spend under $2K. POS/loyalty engine re-evaluates and removes free delivery; counter is restored.</t>
        </is>
      </c>
      <c r="G7" s="70" t="inlineStr">
        <is>
          <t>D-EM-8</t>
        </is>
      </c>
      <c r="H7" s="70" t="inlineStr">
        <is>
          <t>AC: [Author TBD] Write Given/When/Then for happy path + edge cases.
    - Happy path: …
    - Edge case 1: …
    - Edge case 2: …
Definition of Ready: at least 2 ACs written and 0 unresolved Decision Log items.</t>
        </is>
      </c>
      <c r="I7" s="70" t="inlineStr">
        <is>
          <t>Confirm counter restoration behavior.</t>
        </is>
      </c>
      <c r="J7" s="70" t="inlineStr">
        <is>
          <t>Beta</t>
        </is>
      </c>
      <c r="K7" s="70" t="inlineStr">
        <is>
          <t>System</t>
        </is>
      </c>
      <c r="L7" s="70" t="inlineStr">
        <is>
          <t>Yes</t>
        </is>
      </c>
      <c r="M7" s="70" t="n"/>
      <c r="N7" s="70" t="inlineStr">
        <is>
          <t>Not Started</t>
        </is>
      </c>
      <c r="O7" s="70" t="n"/>
    </row>
    <row r="8">
      <c r="A8" s="70" t="n">
        <v>115</v>
      </c>
      <c r="B8" s="70" t="inlineStr">
        <is>
          <t>WS5 — WS 5: Offers &amp; Benefit Fulfillment (Delivery, Samples, Bid Room)</t>
        </is>
      </c>
      <c r="C8" s="70" t="inlineStr">
        <is>
          <t>E-WS5.1</t>
        </is>
      </c>
      <c r="D8" s="70" t="inlineStr">
        <is>
          <t>Delivery Benefit</t>
        </is>
      </c>
      <c r="E8" s="70" t="inlineStr">
        <is>
          <t>Gold annual delivery counter resets January 1 — no rollover</t>
        </is>
      </c>
      <c r="F8" s="70" t="inlineStr">
        <is>
          <t>At calendar year start, loyalty engine resets Gold-tier free delivery counter to 4; unused deliveries from prior year do not carry over.</t>
        </is>
      </c>
      <c r="G8" s="70" t="inlineStr">
        <is>
          <t>D-EM-4</t>
        </is>
      </c>
      <c r="H8" s="70" t="inlineStr">
        <is>
          <t>AC: [Author TBD] Write Given/When/Then for happy path + edge cases.
    - Happy path: …
    - Edge case 1: …
    - Edge case 2: …
Definition of Ready: at least 2 ACs written and 0 unresolved Decision Log items.</t>
        </is>
      </c>
      <c r="I8" s="70" t="n"/>
      <c r="J8" s="70" t="inlineStr">
        <is>
          <t>Full Launch</t>
        </is>
      </c>
      <c r="K8" s="70" t="inlineStr">
        <is>
          <t>System</t>
        </is>
      </c>
      <c r="L8" s="70" t="inlineStr">
        <is>
          <t>No</t>
        </is>
      </c>
      <c r="M8" s="70" t="n"/>
      <c r="N8" s="70" t="inlineStr">
        <is>
          <t>Not Started</t>
        </is>
      </c>
      <c r="O8" s="70" t="n"/>
    </row>
    <row r="9">
      <c r="A9" s="70" t="n">
        <v>116</v>
      </c>
      <c r="B9" s="70" t="inlineStr">
        <is>
          <t>WS5 — WS 5: Offers &amp; Benefit Fulfillment (Delivery, Samples, Bid Room)</t>
        </is>
      </c>
      <c r="C9" s="70" t="inlineStr">
        <is>
          <t>E-WS5.1</t>
        </is>
      </c>
      <c r="D9" s="70" t="inlineStr">
        <is>
          <t>Delivery Benefit</t>
        </is>
      </c>
      <c r="E9" s="70" t="inlineStr">
        <is>
          <t>Gold PRO exhausts free deliveries — paid delivery still available</t>
        </is>
      </c>
      <c r="F9" s="70" t="inlineStr">
        <is>
          <t>Once a Gold account has used 4 free deliveries in a calendar year, loyalty engine blocks the free benefit but POS / PRO desk still accept paid delivery scheduling on qualifying orders.</t>
        </is>
      </c>
      <c r="G9" s="70" t="inlineStr">
        <is>
          <t>D-EM-5</t>
        </is>
      </c>
      <c r="H9" s="70" t="inlineStr">
        <is>
          <t>AC: [Author TBD] Write Given/When/Then for happy path + edge cases.
    - Happy path: …
    - Edge case 1: …
    - Edge case 2: …
Definition of Ready: at least 2 ACs written and 0 unresolved Decision Log items.</t>
        </is>
      </c>
      <c r="I9" s="70" t="n"/>
      <c r="J9" s="70" t="inlineStr">
        <is>
          <t>Beta</t>
        </is>
      </c>
      <c r="K9" s="70" t="inlineStr">
        <is>
          <t>System</t>
        </is>
      </c>
      <c r="L9" s="70" t="inlineStr">
        <is>
          <t>No</t>
        </is>
      </c>
      <c r="M9" s="70" t="n"/>
      <c r="N9" s="70" t="inlineStr">
        <is>
          <t>Not Started</t>
        </is>
      </c>
      <c r="O9" s="70" t="n"/>
    </row>
    <row r="10">
      <c r="A10" s="70" t="n">
        <v>117</v>
      </c>
      <c r="B10" s="70" t="inlineStr">
        <is>
          <t>WS5 — WS 5: Offers &amp; Benefit Fulfillment (Delivery, Samples, Bid Room)</t>
        </is>
      </c>
      <c r="C10" s="70" t="inlineStr">
        <is>
          <t>E-WS5.2</t>
        </is>
      </c>
      <c r="D10" s="70" t="inlineStr">
        <is>
          <t>Delivery Benefit</t>
        </is>
      </c>
      <c r="E10" s="70" t="inlineStr">
        <is>
          <t>Delivery address outside 60-mile radius blocked; controlled override available</t>
        </is>
      </c>
      <c r="F10" s="70" t="inlineStr">
        <is>
          <t>Scheduling workflow validates that delivery address is within 60 miles of the originating store; outside-radius requests are blocked unless an authorized user invokes the override workflow.</t>
        </is>
      </c>
      <c r="G10" s="70" t="inlineStr">
        <is>
          <t>D-S-6</t>
        </is>
      </c>
      <c r="H10" s="70" t="inlineStr">
        <is>
          <t>AC: [Author TBD] Write Given/When/Then for happy path + edge cases.
    - Happy path: …
    - Edge case 1: …
    - Edge case 2: …
Definition of Ready: at least 2 ACs written and 0 unresolved Decision Log items.</t>
        </is>
      </c>
      <c r="I10" s="70" t="inlineStr">
        <is>
          <t>Override permission model TBD.</t>
        </is>
      </c>
      <c r="J10" s="70" t="inlineStr">
        <is>
          <t>Beta</t>
        </is>
      </c>
      <c r="K10" s="70" t="inlineStr">
        <is>
          <t>System</t>
        </is>
      </c>
      <c r="L10" s="70" t="inlineStr">
        <is>
          <t>No</t>
        </is>
      </c>
      <c r="M10" s="70" t="n"/>
      <c r="N10" s="70" t="inlineStr">
        <is>
          <t>Not Started</t>
        </is>
      </c>
      <c r="O10" s="70" t="n"/>
    </row>
    <row r="11">
      <c r="A11" s="70" t="n">
        <v>118</v>
      </c>
      <c r="B11" s="70" t="inlineStr">
        <is>
          <t>WS5 — WS 5: Offers &amp; Benefit Fulfillment (Delivery, Samples, Bid Room)</t>
        </is>
      </c>
      <c r="C11" s="70" t="inlineStr">
        <is>
          <t>E-WS5.2</t>
        </is>
      </c>
      <c r="D11" s="70" t="inlineStr">
        <is>
          <t>Delivery Benefit</t>
        </is>
      </c>
      <c r="E11" s="70" t="inlineStr">
        <is>
          <t>Free delivery honored when fulfilled from a non-originating store</t>
        </is>
      </c>
      <c r="F11" s="70" t="inlineStr">
        <is>
          <t>Order placed at Store A within 60 mi of delivery address but fulfilled from Store B (e.g., 100 mi from delivery address). Free delivery is still honored.</t>
        </is>
      </c>
      <c r="G11" s="70" t="inlineStr">
        <is>
          <t>D-S-6</t>
        </is>
      </c>
      <c r="H11" s="70" t="inlineStr">
        <is>
          <t>AC: [Author TBD] Write Given/When/Then for happy path + edge cases.
    - Happy path: …
    - Edge case 1: …
    - Edge case 2: …
Definition of Ready: at least 2 ACs written and 0 unresolved Decision Log items.</t>
        </is>
      </c>
      <c r="I11" s="70" t="n"/>
      <c r="J11" s="70" t="inlineStr">
        <is>
          <t>Beta</t>
        </is>
      </c>
      <c r="K11" s="70" t="inlineStr">
        <is>
          <t>System</t>
        </is>
      </c>
      <c r="L11" s="70" t="inlineStr">
        <is>
          <t>No</t>
        </is>
      </c>
      <c r="M11" s="70" t="n"/>
      <c r="N11" s="70" t="inlineStr">
        <is>
          <t>Not Started</t>
        </is>
      </c>
      <c r="O11" s="70" t="n"/>
    </row>
    <row r="12">
      <c r="A12" s="70" t="n">
        <v>119</v>
      </c>
      <c r="B12" s="70" t="inlineStr">
        <is>
          <t>WS5 — WS 5: Offers &amp; Benefit Fulfillment (Delivery, Samples, Bid Room)</t>
        </is>
      </c>
      <c r="C12" s="70" t="inlineStr">
        <is>
          <t>E-WS5.1</t>
        </is>
      </c>
      <c r="D12" s="70" t="inlineStr">
        <is>
          <t>Delivery Benefit</t>
        </is>
      </c>
      <c r="E12" s="70" t="inlineStr">
        <is>
          <t>Inter-store product transfer does not count against Gold delivery allotment</t>
        </is>
      </c>
      <c r="F12" s="70" t="inlineStr">
        <is>
          <t>Product transferred between F&amp;D stores to enable an order does not decrement the Gold-tier delivery counter.</t>
        </is>
      </c>
      <c r="G12" s="70" t="inlineStr">
        <is>
          <t>D-IT-1</t>
        </is>
      </c>
      <c r="H12" s="70" t="inlineStr">
        <is>
          <t>AC: [Author TBD] Write Given/When/Then for happy path + edge cases.
    - Happy path: …
    - Edge case 1: …
    - Edge case 2: …
Definition of Ready: at least 2 ACs written and 0 unresolved Decision Log items.</t>
        </is>
      </c>
      <c r="I12" s="70" t="n"/>
      <c r="J12" s="70" t="inlineStr">
        <is>
          <t>Beta</t>
        </is>
      </c>
      <c r="K12" s="70" t="inlineStr">
        <is>
          <t>System</t>
        </is>
      </c>
      <c r="L12" s="70" t="inlineStr">
        <is>
          <t>No</t>
        </is>
      </c>
      <c r="M12" s="70" t="n"/>
      <c r="N12" s="70" t="inlineStr">
        <is>
          <t>Not Started</t>
        </is>
      </c>
      <c r="O12" s="70" t="n"/>
    </row>
    <row r="13">
      <c r="A13" s="70" t="n">
        <v>120</v>
      </c>
      <c r="B13" s="70" t="inlineStr">
        <is>
          <t>WS5 — WS 5: Offers &amp; Benefit Fulfillment (Delivery, Samples, Bid Room)</t>
        </is>
      </c>
      <c r="C13" s="70" t="inlineStr">
        <is>
          <t>E-WS5.2</t>
        </is>
      </c>
      <c r="D13" s="70" t="inlineStr">
        <is>
          <t>Delivery Benefit</t>
        </is>
      </c>
      <c r="E13" s="70" t="inlineStr">
        <is>
          <t>Cross-store / DC sourcing to meet 7-day SLA when home store is out of stock</t>
        </is>
      </c>
      <c r="F13" s="70" t="inlineStr">
        <is>
          <t>When home store inventory is insufficient, OMS routes sourcing across DCs / stores within 60 miles of delivery address to meet the 7-day delivery SLA.</t>
        </is>
      </c>
      <c r="G13" s="70" t="inlineStr">
        <is>
          <t>D-IT-3</t>
        </is>
      </c>
      <c r="H13" s="70" t="inlineStr">
        <is>
          <t>AC: [Author TBD] Write Given/When/Then for happy path + edge cases.
    - Happy path: …
    - Edge case 1: …
    - Edge case 2: …
Definition of Ready: at least 2 ACs written and 0 unresolved Decision Log items.</t>
        </is>
      </c>
      <c r="I13" s="70" t="n"/>
      <c r="J13" s="70" t="inlineStr">
        <is>
          <t>Beta</t>
        </is>
      </c>
      <c r="K13" s="70" t="inlineStr">
        <is>
          <t>System</t>
        </is>
      </c>
      <c r="L13" s="70" t="inlineStr">
        <is>
          <t>No</t>
        </is>
      </c>
      <c r="M13" s="70" t="n"/>
      <c r="N13" s="70" t="inlineStr">
        <is>
          <t>Not Started</t>
        </is>
      </c>
      <c r="O13" s="70" t="n"/>
    </row>
    <row r="14">
      <c r="A14" s="70" t="n">
        <v>121</v>
      </c>
      <c r="B14" s="70" t="inlineStr">
        <is>
          <t>WS5 — WS 5: Offers &amp; Benefit Fulfillment (Delivery, Samples, Bid Room)</t>
        </is>
      </c>
      <c r="C14" s="70" t="inlineStr">
        <is>
          <t>E-WS5.2</t>
        </is>
      </c>
      <c r="D14" s="70" t="inlineStr">
        <is>
          <t>Delivery Benefit</t>
        </is>
      </c>
      <c r="E14" s="70" t="inlineStr">
        <is>
          <t>Delivery 7-day SLA breach flagged for operational follow-up</t>
        </is>
      </c>
      <c r="F14" s="70" t="inlineStr">
        <is>
          <t>Scheduled or fulfilled delivery exceeding the 7-day SLA emits an operational alert for PRO desk / ops follow-up and may surface to PRO comms.</t>
        </is>
      </c>
      <c r="G14" s="70" t="inlineStr">
        <is>
          <t>D-S-5</t>
        </is>
      </c>
      <c r="H14" s="70" t="inlineStr">
        <is>
          <t>AC: [Author TBD] Write Given/When/Then for happy path + edge cases.
    - Happy path: …
    - Edge case 1: …
    - Edge case 2: …
Definition of Ready: at least 2 ACs written and 0 unresolved Decision Log items.</t>
        </is>
      </c>
      <c r="I14" s="70" t="inlineStr">
        <is>
          <t>Breach handling workflow TBD.</t>
        </is>
      </c>
      <c r="J14" s="70" t="inlineStr">
        <is>
          <t>Full Launch</t>
        </is>
      </c>
      <c r="K14" s="70" t="inlineStr">
        <is>
          <t>System</t>
        </is>
      </c>
      <c r="L14" s="70" t="inlineStr">
        <is>
          <t>No</t>
        </is>
      </c>
      <c r="M14" s="70" t="n"/>
      <c r="N14" s="70" t="inlineStr">
        <is>
          <t>Not Started</t>
        </is>
      </c>
      <c r="O14" s="70" t="n"/>
    </row>
    <row r="15">
      <c r="A15" s="70" t="n">
        <v>122</v>
      </c>
      <c r="B15" s="70" t="inlineStr">
        <is>
          <t>SB — Storage Buy Updates</t>
        </is>
      </c>
      <c r="C15" s="70" t="inlineStr">
        <is>
          <t>E-SB.1</t>
        </is>
      </c>
      <c r="D15" s="70" t="inlineStr">
        <is>
          <t>Delivery Benefit</t>
        </is>
      </c>
      <c r="E15" s="70" t="inlineStr">
        <is>
          <t>StorageBuy surfaces tier for fulfillment prioritization</t>
        </is>
      </c>
      <c r="F15" s="70" t="inlineStr">
        <is>
          <t>StorageBuy / fulfillment view displays ordering PRO's tier so manual fulfillment can be prioritized at the store.</t>
        </is>
      </c>
      <c r="G15" s="70" t="inlineStr">
        <is>
          <t>D-IT-4</t>
        </is>
      </c>
      <c r="H15" s="70" t="inlineStr">
        <is>
          <t>AC: [Author TBD] Write Given/When/Then for happy path + edge cases.
    - Happy path: …
    - Edge case 1: …
    - Edge case 2: …
Definition of Ready: at least 2 ACs written and 0 unresolved Decision Log items.</t>
        </is>
      </c>
      <c r="I15" s="70" t="n"/>
      <c r="J15" s="70" t="inlineStr">
        <is>
          <t>Beta</t>
        </is>
      </c>
      <c r="K15" s="70" t="inlineStr">
        <is>
          <t>System</t>
        </is>
      </c>
      <c r="L15" s="70" t="inlineStr">
        <is>
          <t>No</t>
        </is>
      </c>
      <c r="M15" s="70" t="n"/>
      <c r="N15" s="70" t="inlineStr">
        <is>
          <t>Not Started</t>
        </is>
      </c>
      <c r="O15" s="70" t="n"/>
    </row>
    <row r="16">
      <c r="A16" s="70" t="n">
        <v>123</v>
      </c>
      <c r="B16" s="70" t="inlineStr">
        <is>
          <t>WS5 — WS 5: Offers &amp; Benefit Fulfillment (Delivery, Samples, Bid Room)</t>
        </is>
      </c>
      <c r="C16" s="70" t="inlineStr">
        <is>
          <t>E-WS5.2</t>
        </is>
      </c>
      <c r="D16" s="70" t="inlineStr">
        <is>
          <t>Delivery Benefit</t>
        </is>
      </c>
      <c r="E16" s="70" t="inlineStr">
        <is>
          <t>Premium / paid elevated delivery (white glove, faster, expanded radius)</t>
        </is>
      </c>
      <c r="F16" s="70" t="inlineStr">
        <is>
          <t>PRO requests an elevated service level above standard free delivery at additional cost. Offering varies by store and locality. Post-launch capability.</t>
        </is>
      </c>
      <c r="G16" s="70" t="inlineStr">
        <is>
          <t>D-EM-11</t>
        </is>
      </c>
      <c r="H16" s="70" t="inlineStr">
        <is>
          <t>AC: [Author TBD] Write Given/When/Then for happy path + edge cases.
    - Happy path: …
    - Edge case 1: …
    - Edge case 2: …
Definition of Ready: at least 2 ACs written and 0 unresolved Decision Log items.</t>
        </is>
      </c>
      <c r="I16" s="70" t="inlineStr">
        <is>
          <t>Cost structure and operating model TBD post-launch.</t>
        </is>
      </c>
      <c r="J16" s="70" t="inlineStr">
        <is>
          <t>Post-Launch</t>
        </is>
      </c>
      <c r="K16" s="70" t="inlineStr">
        <is>
          <t>Relationship</t>
        </is>
      </c>
      <c r="L16" s="70" t="inlineStr">
        <is>
          <t>No</t>
        </is>
      </c>
      <c r="M16" s="70" t="n"/>
      <c r="N16" s="70" t="inlineStr">
        <is>
          <t>Not Started</t>
        </is>
      </c>
      <c r="O16" s="70" t="n"/>
    </row>
    <row r="17">
      <c r="A17" s="70" t="n">
        <v>124</v>
      </c>
      <c r="B17" s="70" t="inlineStr">
        <is>
          <t>WS5 — WS 5: Offers &amp; Benefit Fulfillment (Delivery, Samples, Bid Room)</t>
        </is>
      </c>
      <c r="C17" s="70" t="inlineStr">
        <is>
          <t>E-WS5.2</t>
        </is>
      </c>
      <c r="D17" s="70" t="inlineStr">
        <is>
          <t>Delivery Benefit</t>
        </is>
      </c>
      <c r="E17" s="70" t="inlineStr">
        <is>
          <t>Order characteristics (weight, size, material) passed to scheduling workflow</t>
        </is>
      </c>
      <c r="F17" s="70" t="inlineStr">
        <is>
          <t>Loyalty engine does not restrict eligibility by product category, but passes fulfillment-relevant SKU attributes to scheduling so PRO desk can plan properly.</t>
        </is>
      </c>
      <c r="G17" s="70" t="inlineStr">
        <is>
          <t>D-EM-2</t>
        </is>
      </c>
      <c r="H17" s="70" t="inlineStr">
        <is>
          <t>AC: [Author TBD] Write Given/When/Then for happy path + edge cases.
    - Happy path: …
    - Edge case 1: …
    - Edge case 2: …
Definition of Ready: at least 2 ACs written and 0 unresolved Decision Log items.</t>
        </is>
      </c>
      <c r="I17" s="70" t="n"/>
      <c r="J17" s="70" t="inlineStr">
        <is>
          <t>Beta</t>
        </is>
      </c>
      <c r="K17" s="70" t="inlineStr">
        <is>
          <t>System</t>
        </is>
      </c>
      <c r="L17" s="70" t="inlineStr">
        <is>
          <t>No</t>
        </is>
      </c>
      <c r="M17" s="70" t="n"/>
      <c r="N17" s="70" t="inlineStr">
        <is>
          <t>Not Started</t>
        </is>
      </c>
      <c r="O17" s="70" t="n"/>
    </row>
    <row r="18">
      <c r="A18" s="70" t="n">
        <v>125</v>
      </c>
      <c r="B18" s="70" t="inlineStr">
        <is>
          <t>WS2 — WS 2: Financial Awards &amp; Rewards</t>
        </is>
      </c>
      <c r="C18" s="70" t="inlineStr">
        <is>
          <t>E-WS2.1</t>
        </is>
      </c>
      <c r="D18" s="70" t="inlineStr">
        <is>
          <t>Earning / Tier Qualification</t>
        </is>
      </c>
      <c r="E18" s="70" t="inlineStr">
        <is>
          <t>Single transaction crosses multiple $1K thresholds — multiple F&amp;D Bucks issued atomically</t>
        </is>
      </c>
      <c r="F18" s="70" t="inlineStr">
        <is>
          <t>A $3,200 qualifying transaction crosses three $1K thresholds. Loyalty engine issues three F&amp;D Bucks at the applicable tier rate(s) within one event.</t>
        </is>
      </c>
      <c r="G18" s="70" t="inlineStr">
        <is>
          <t>E-GC-3</t>
        </is>
      </c>
      <c r="H18" s="70" t="inlineStr">
        <is>
          <t>AC: [Author TBD] Write Given/When/Then for happy path + edge cases.
    - Happy path: …
    - Edge case 1: …
    - Edge case 2: …
Definition of Ready: at least 2 ACs written and 0 unresolved Decision Log items.</t>
        </is>
      </c>
      <c r="I18" s="70" t="n"/>
      <c r="J18" s="70" t="inlineStr">
        <is>
          <t>Beta</t>
        </is>
      </c>
      <c r="K18" s="70" t="inlineStr">
        <is>
          <t>System</t>
        </is>
      </c>
      <c r="L18" s="70" t="inlineStr">
        <is>
          <t>Yes</t>
        </is>
      </c>
      <c r="M18" s="70" t="n"/>
      <c r="N18" s="70" t="inlineStr">
        <is>
          <t>Not Started</t>
        </is>
      </c>
      <c r="O18" s="70" t="n"/>
    </row>
    <row r="19">
      <c r="A19" s="70" t="n">
        <v>126</v>
      </c>
      <c r="B19" s="70" t="inlineStr">
        <is>
          <t>WS1 — WS 1: Core Loyalty Engine — Member, Tier &amp; Ledger</t>
        </is>
      </c>
      <c r="C19" s="70" t="inlineStr">
        <is>
          <t>E-WS1.3</t>
        </is>
      </c>
      <c r="D19" s="70" t="inlineStr">
        <is>
          <t>Earning / Tier Qualification</t>
        </is>
      </c>
      <c r="E19" s="70" t="inlineStr">
        <is>
          <t>Tier-skip transaction allocates spend across tier bands and triggers selection events</t>
        </is>
      </c>
      <c r="F19" s="70" t="inlineStr">
        <is>
          <t>A single transaction crosses multiple tier thresholds (e.g., Red→Gold or Silver→Platinum). Loyalty engine apportions spend across each tier band, applies awards at each band's rate, and triggers a reward selection event in the PRO app for each newly entered selectable tier (Gold, Platinum).</t>
        </is>
      </c>
      <c r="G19" s="70" t="inlineStr">
        <is>
          <t>J-CR-6</t>
        </is>
      </c>
      <c r="H19" s="70" t="inlineStr">
        <is>
          <t>AC-1: GIVEN a Red-tier PRO transacts $8,000 in a single purchase (crosses Silver + Gold)
       WHEN loyalty engine processes the transaction
       THEN spend is allocated across Red→Silver and Silver→Gold bands
       AND Silver-band F&amp;D Bucks issued at Silver rate; Gold-band at Gold rate
       AND a reward-selection event is triggered in PRO app for Gold tier
AC-2: GIVEN no selection is made within the configured window
       WHEN window expires
       THEN F&amp;D Bucks default applies for Gold-band spend
[Open] Selection window length — see Decision Log D-008</t>
        </is>
      </c>
      <c r="I19" s="70" t="inlineStr">
        <is>
          <t>Confirm: prior tier earnings remain unchanged; no retroactive application.</t>
        </is>
      </c>
      <c r="J19" s="70" t="inlineStr">
        <is>
          <t>Beta</t>
        </is>
      </c>
      <c r="K19" s="70" t="inlineStr">
        <is>
          <t>System</t>
        </is>
      </c>
      <c r="L19" s="70" t="inlineStr">
        <is>
          <t>Yes</t>
        </is>
      </c>
      <c r="M19" s="70" t="n"/>
      <c r="N19" s="70" t="inlineStr">
        <is>
          <t>Not Started</t>
        </is>
      </c>
      <c r="O19" s="70" t="n"/>
    </row>
    <row r="20">
      <c r="A20" s="70" t="n">
        <v>127</v>
      </c>
      <c r="B20" s="70" t="inlineStr">
        <is>
          <t>WS3 — WS 3: Transaction &amp; Spend Ingestion</t>
        </is>
      </c>
      <c r="C20" s="70" t="inlineStr">
        <is>
          <t>E-WS3.1</t>
        </is>
      </c>
      <c r="D20" s="70" t="inlineStr">
        <is>
          <t>Earning / Tier Qualification</t>
        </is>
      </c>
      <c r="E20" s="70" t="inlineStr">
        <is>
          <t>Sales tax excluded from net eligible spend</t>
        </is>
      </c>
      <c r="F20" s="70" t="inlineStr">
        <is>
          <t>Loyalty engine excludes sales tax from spend basis used for both award accrual and tier evaluation.</t>
        </is>
      </c>
      <c r="G20" s="70" t="inlineStr">
        <is>
          <t>E-OA-1</t>
        </is>
      </c>
      <c r="H20" s="70" t="inlineStr">
        <is>
          <t>AC: [Author TBD] Write Given/When/Then for happy path + edge cases.
    - Happy path: …
    - Edge case 1: …
    - Edge case 2: …
Definition of Ready: at least 2 ACs written and 0 unresolved Decision Log items.</t>
        </is>
      </c>
      <c r="I20" s="70" t="n"/>
      <c r="J20" s="70" t="inlineStr">
        <is>
          <t>Beta</t>
        </is>
      </c>
      <c r="K20" s="70" t="inlineStr">
        <is>
          <t>System</t>
        </is>
      </c>
      <c r="L20" s="70" t="inlineStr">
        <is>
          <t>Yes</t>
        </is>
      </c>
      <c r="M20" s="70" t="n"/>
      <c r="N20" s="70" t="inlineStr">
        <is>
          <t>Not Started</t>
        </is>
      </c>
      <c r="O20" s="70" t="n"/>
    </row>
    <row r="21">
      <c r="A21" s="70" t="n">
        <v>128</v>
      </c>
      <c r="B21" s="70" t="inlineStr">
        <is>
          <t>WS3 — WS 3: Transaction &amp; Spend Ingestion</t>
        </is>
      </c>
      <c r="C21" s="70" t="inlineStr">
        <is>
          <t>E-WS3.1</t>
        </is>
      </c>
      <c r="D21" s="70" t="inlineStr">
        <is>
          <t>Earning / Tier Qualification</t>
        </is>
      </c>
      <c r="E21" s="70" t="inlineStr">
        <is>
          <t>Gift card SKUs and gift-card-tender portions excluded from eligible spend</t>
        </is>
      </c>
      <c r="F21" s="70" t="inlineStr">
        <is>
          <t>Loyalty engine excludes gift card purchases and any portion of a transaction paid using a gift card from accrual / tier basis.</t>
        </is>
      </c>
      <c r="G21" s="70" t="inlineStr">
        <is>
          <t>E-OA-1</t>
        </is>
      </c>
      <c r="H21" s="70" t="inlineStr">
        <is>
          <t>AC: [Author TBD] Write Given/When/Then for happy path + edge cases.
    - Happy path: …
    - Edge case 1: …
    - Edge case 2: …
Definition of Ready: at least 2 ACs written and 0 unresolved Decision Log items.</t>
        </is>
      </c>
      <c r="I21" s="70" t="n"/>
      <c r="J21" s="70" t="inlineStr">
        <is>
          <t>Beta</t>
        </is>
      </c>
      <c r="K21" s="70" t="inlineStr">
        <is>
          <t>System</t>
        </is>
      </c>
      <c r="L21" s="70" t="inlineStr">
        <is>
          <t>Yes</t>
        </is>
      </c>
      <c r="M21" s="70" t="n"/>
      <c r="N21" s="70" t="inlineStr">
        <is>
          <t>Not Started</t>
        </is>
      </c>
      <c r="O21" s="70" t="n"/>
    </row>
    <row r="22">
      <c r="A22" s="70" t="n">
        <v>129</v>
      </c>
      <c r="B22" s="70" t="inlineStr">
        <is>
          <t>WS3 — WS 3: Transaction &amp; Spend Ingestion</t>
        </is>
      </c>
      <c r="C22" s="70" t="inlineStr">
        <is>
          <t>E-WS3.4</t>
        </is>
      </c>
      <c r="D22" s="70" t="inlineStr">
        <is>
          <t>Earning / Tier Qualification</t>
        </is>
      </c>
      <c r="E22" s="70" t="inlineStr">
        <is>
          <t>Post-void transaction fully reverses eligible spend and accrual (distinct from return)</t>
        </is>
      </c>
      <c r="F22" s="70" t="inlineStr">
        <is>
          <t>A POS-voided transaction is treated as if it never occurred. Associated eligible spend and award accrual are reversed without applying return-specific logic.</t>
        </is>
      </c>
      <c r="G22" s="70" t="inlineStr">
        <is>
          <t>E-OA-7</t>
        </is>
      </c>
      <c r="H22" s="70" t="inlineStr">
        <is>
          <t>AC: [Author TBD] Write Given/When/Then for happy path + edge cases.
    - Happy path: …
    - Edge case 1: …
    - Edge case 2: …
Definition of Ready: at least 2 ACs written and 0 unresolved Decision Log items.</t>
        </is>
      </c>
      <c r="I22" s="70" t="n"/>
      <c r="J22" s="70" t="inlineStr">
        <is>
          <t>Beta</t>
        </is>
      </c>
      <c r="K22" s="70" t="inlineStr">
        <is>
          <t>System</t>
        </is>
      </c>
      <c r="L22" s="70" t="inlineStr">
        <is>
          <t>No</t>
        </is>
      </c>
      <c r="M22" s="70" t="n"/>
      <c r="N22" s="70" t="inlineStr">
        <is>
          <t>Not Started</t>
        </is>
      </c>
      <c r="O22" s="70" t="n"/>
    </row>
    <row r="23">
      <c r="A23" s="70" t="n">
        <v>130</v>
      </c>
      <c r="B23" s="70" t="inlineStr">
        <is>
          <t>WS2 — WS 2: Financial Awards &amp; Rewards</t>
        </is>
      </c>
      <c r="C23" s="70" t="inlineStr">
        <is>
          <t>E-WS2.1</t>
        </is>
      </c>
      <c r="D23" s="70" t="inlineStr">
        <is>
          <t>Earning / Tier Qualification</t>
        </is>
      </c>
      <c r="E23" s="70" t="inlineStr">
        <is>
          <t>Red-tier accounts: financial reward eligibility suppressed until Silver threshold met</t>
        </is>
      </c>
      <c r="F23" s="70" t="inlineStr">
        <is>
          <t>Newly enrolled PRO accounts default to Red tier; loyalty engine suppresses F&amp;D Bucks issuance and rebate accrual until cumulative tracked spend reaches the Silver tier threshold.</t>
        </is>
      </c>
      <c r="G23" s="70" t="inlineStr">
        <is>
          <t>J-GC-1</t>
        </is>
      </c>
      <c r="H23" s="70" t="inlineStr">
        <is>
          <t>AC: [Author TBD] Write Given/When/Then for happy path + edge cases.
    - Happy path: …
    - Edge case 1: …
    - Edge case 2: …
Definition of Ready: at least 2 ACs written and 0 unresolved Decision Log items.</t>
        </is>
      </c>
      <c r="I23" s="70" t="inlineStr">
        <is>
          <t>Does not apply to PPR-seeded accounts.</t>
        </is>
      </c>
      <c r="J23" s="70" t="inlineStr">
        <is>
          <t>Beta</t>
        </is>
      </c>
      <c r="K23" s="70" t="inlineStr">
        <is>
          <t>System</t>
        </is>
      </c>
      <c r="L23" s="70" t="inlineStr">
        <is>
          <t>No</t>
        </is>
      </c>
      <c r="M23" s="70" t="n"/>
      <c r="N23" s="70" t="inlineStr">
        <is>
          <t>Not Started</t>
        </is>
      </c>
      <c r="O23" s="70" t="n"/>
    </row>
    <row r="24">
      <c r="A24" s="70" t="n">
        <v>131</v>
      </c>
      <c r="B24" s="70" t="inlineStr">
        <is>
          <t>WS1 — WS 1: Core Loyalty Engine — Member, Tier &amp; Ledger</t>
        </is>
      </c>
      <c r="C24" s="70" t="inlineStr">
        <is>
          <t>E-WS1.3</t>
        </is>
      </c>
      <c r="D24" s="70" t="inlineStr">
        <is>
          <t>Earning / Tier Qualification</t>
        </is>
      </c>
      <c r="E24" s="70" t="inlineStr">
        <is>
          <t>Mid-year tier upgrade: prior-band spend keeps prior reward rate; post-threshold spend uses new rate</t>
        </is>
      </c>
      <c r="F24" s="70" t="inlineStr">
        <is>
          <t>A PRO crossing into Gold mid-year keeps Silver-band reward rate for pre-threshold spend and applies Gold-band rate only for spend above the threshold. No retroactive reissuance for prior spend.</t>
        </is>
      </c>
      <c r="G24" s="70" t="inlineStr">
        <is>
          <t>E-GC-4, J-GC-4</t>
        </is>
      </c>
      <c r="H24" s="70" t="inlineStr">
        <is>
          <t>AC: [Author TBD] Write Given/When/Then for happy path + edge cases.
    - Happy path: …
    - Edge case 1: …
    - Edge case 2: …
Definition of Ready: at least 2 ACs written and 0 unresolved Decision Log items.</t>
        </is>
      </c>
      <c r="I24" s="70" t="n"/>
      <c r="J24" s="70" t="inlineStr">
        <is>
          <t>Beta</t>
        </is>
      </c>
      <c r="K24" s="70" t="inlineStr">
        <is>
          <t>System</t>
        </is>
      </c>
      <c r="L24" s="70" t="inlineStr">
        <is>
          <t>No</t>
        </is>
      </c>
      <c r="M24" s="70" t="n"/>
      <c r="N24" s="70" t="inlineStr">
        <is>
          <t>Not Started</t>
        </is>
      </c>
      <c r="O24" s="70" t="n"/>
    </row>
    <row r="25">
      <c r="A25" s="70" t="n">
        <v>132</v>
      </c>
      <c r="B25" s="70" t="inlineStr">
        <is>
          <t>WS8 — WS 8: CRM Systems Enablement</t>
        </is>
      </c>
      <c r="C25" s="70" t="inlineStr">
        <is>
          <t>E-WS8.2</t>
        </is>
      </c>
      <c r="D25" s="70" t="inlineStr">
        <is>
          <t>Earning / Tier Qualification</t>
        </is>
      </c>
      <c r="E25" s="70" t="inlineStr">
        <is>
          <t>Bid-room-sized non-member transaction seeds Silver tier on the fly</t>
        </is>
      </c>
      <c r="F25" s="70" t="inlineStr">
        <is>
          <t>An unaffiliated customer's $5K+ transaction enrolls them via on-the-fly account creation seeded at Silver, even with no prior spend history.</t>
        </is>
      </c>
      <c r="G25" s="70" t="inlineStr">
        <is>
          <t>PR-BR-1, SO-WF-1</t>
        </is>
      </c>
      <c r="H25" s="70" t="inlineStr">
        <is>
          <t>AC-1: GIVEN a non-member presents a $5,200 purchase at POS
       WHEN transaction is processed
       THEN POS prompts on-the-fly account creation
       AND new account is seeded into Silver tier before transaction completes
       AND F&amp;D Bucks accrue at Silver rate on this transaction
AC-2: GIVEN customer declines account creation
       WHEN transaction completes
       THEN it is flagged retro-attributable per E-OA-6 (within window)</t>
        </is>
      </c>
      <c r="I25" s="70" t="inlineStr">
        <is>
          <t>Coordinate with on-site enrollment flow and bid room workflow.</t>
        </is>
      </c>
      <c r="J25" s="70" t="inlineStr">
        <is>
          <t>Beta</t>
        </is>
      </c>
      <c r="K25" s="70" t="inlineStr">
        <is>
          <t>System</t>
        </is>
      </c>
      <c r="L25" s="70" t="inlineStr">
        <is>
          <t>Yes</t>
        </is>
      </c>
      <c r="M25" s="70" t="n"/>
      <c r="N25" s="70" t="inlineStr">
        <is>
          <t>Not Started</t>
        </is>
      </c>
      <c r="O25" s="70" t="n"/>
    </row>
    <row r="26">
      <c r="A26" s="70" t="n">
        <v>133</v>
      </c>
      <c r="B26" s="70" t="inlineStr">
        <is>
          <t>WS3 — WS 3: Transaction &amp; Spend Ingestion</t>
        </is>
      </c>
      <c r="C26" s="70" t="inlineStr">
        <is>
          <t>E-WS3.1</t>
        </is>
      </c>
      <c r="D26" s="70" t="inlineStr">
        <is>
          <t>Earning / Tier Qualification</t>
        </is>
      </c>
      <c r="E26" s="70" t="inlineStr">
        <is>
          <t>BIY (homeowner) spend contributes to tier but not to financial award (or per defined treatment)</t>
        </is>
      </c>
      <c r="F26" s="70" t="inlineStr">
        <is>
          <t>Homeowner / BIY account spend rolls up to tier qualification but does not generate financial award unless explicitly defined. Treatment differs from PRO accounts only where program rules dictate.</t>
        </is>
      </c>
      <c r="G26" s="70" t="inlineStr">
        <is>
          <t>CRM-AS-3</t>
        </is>
      </c>
      <c r="H26" s="70" t="inlineStr">
        <is>
          <t>AC: [Author TBD] Write Given/When/Then for happy path + edge cases.
    - Happy path: …
    - Edge case 1: …
    - Edge case 2: …
Definition of Ready: at least 2 ACs written and 0 unresolved Decision Log items.</t>
        </is>
      </c>
      <c r="I26" s="70" t="inlineStr">
        <is>
          <t>Confirm exact rule for BIY award eligibility.</t>
        </is>
      </c>
      <c r="J26" s="70" t="inlineStr">
        <is>
          <t>Beta</t>
        </is>
      </c>
      <c r="K26" s="70" t="inlineStr">
        <is>
          <t>System</t>
        </is>
      </c>
      <c r="L26" s="70" t="inlineStr">
        <is>
          <t>No</t>
        </is>
      </c>
      <c r="M26" s="70" t="n"/>
      <c r="N26" s="70" t="inlineStr">
        <is>
          <t>Not Started</t>
        </is>
      </c>
      <c r="O26" s="70" t="n"/>
    </row>
    <row r="27">
      <c r="A27" s="70" t="n">
        <v>134</v>
      </c>
      <c r="B27" s="70" t="inlineStr">
        <is>
          <t>WS2 — WS 2: Financial Awards &amp; Rewards</t>
        </is>
      </c>
      <c r="C27" s="70" t="inlineStr">
        <is>
          <t>E-WS2.4</t>
        </is>
      </c>
      <c r="D27" s="70" t="inlineStr">
        <is>
          <t>Benefit Issuance</t>
        </is>
      </c>
      <c r="E27" s="70" t="inlineStr">
        <is>
          <t>Rebate accrual finalized at semi-annual period close</t>
        </is>
      </c>
      <c r="F27" s="70" t="inlineStr">
        <is>
          <t>At end of Jan–Jun and Jul–Dec accrual periods, loyalty engine finalizes rebate calculations after return window closure and locks the payout file for Finance.</t>
        </is>
      </c>
      <c r="G27" s="70" t="inlineStr">
        <is>
          <t>E-CR-4, E-CR-7</t>
        </is>
      </c>
      <c r="H27" s="70" t="inlineStr">
        <is>
          <t>AC: [Author TBD] Write Given/When/Then for happy path + edge cases.
    - Happy path: …
    - Edge case 1: …
    - Edge case 2: …
Definition of Ready: at least 2 ACs written and 0 unresolved Decision Log items.</t>
        </is>
      </c>
      <c r="I27" s="70" t="n"/>
      <c r="J27" s="70" t="inlineStr">
        <is>
          <t>Full Launch</t>
        </is>
      </c>
      <c r="K27" s="70" t="inlineStr">
        <is>
          <t>System</t>
        </is>
      </c>
      <c r="L27" s="70" t="inlineStr">
        <is>
          <t>No</t>
        </is>
      </c>
      <c r="M27" s="70" t="n"/>
      <c r="N27" s="70" t="inlineStr">
        <is>
          <t>Not Started</t>
        </is>
      </c>
      <c r="O27" s="70" t="n"/>
    </row>
    <row r="28">
      <c r="A28" s="70" t="n">
        <v>135</v>
      </c>
      <c r="B28" s="70" t="inlineStr">
        <is>
          <t>WS2 — WS 2: Financial Awards &amp; Rewards</t>
        </is>
      </c>
      <c r="C28" s="70" t="inlineStr">
        <is>
          <t>E-WS2.4</t>
        </is>
      </c>
      <c r="D28" s="70" t="inlineStr">
        <is>
          <t>Benefit Issuance</t>
        </is>
      </c>
      <c r="E28" s="70" t="inlineStr">
        <is>
          <t>Sub-minimum rebate (&lt;$25) rolled forward to next accrual period</t>
        </is>
      </c>
      <c r="F28" s="70" t="inlineStr">
        <is>
          <t>Accounts accruing less than $25 in an accrual period do not receive a check; balance rolls forward to be disbursed alongside next period's rebate.</t>
        </is>
      </c>
      <c r="G28" s="70" t="inlineStr">
        <is>
          <t>R-CR-6</t>
        </is>
      </c>
      <c r="H28" s="70" t="inlineStr">
        <is>
          <t>AC: [Author TBD] Write Given/When/Then for happy path + edge cases.
    - Happy path: …
    - Edge case 1: …
    - Edge case 2: …
Definition of Ready: at least 2 ACs written and 0 unresolved Decision Log items.</t>
        </is>
      </c>
      <c r="I28" s="70" t="n"/>
      <c r="J28" s="70" t="inlineStr">
        <is>
          <t>Full Launch</t>
        </is>
      </c>
      <c r="K28" s="70" t="inlineStr">
        <is>
          <t>System</t>
        </is>
      </c>
      <c r="L28" s="70" t="inlineStr">
        <is>
          <t>No</t>
        </is>
      </c>
      <c r="M28" s="70" t="n"/>
      <c r="N28" s="70" t="inlineStr">
        <is>
          <t>Not Started</t>
        </is>
      </c>
      <c r="O28" s="70" t="n"/>
    </row>
    <row r="29">
      <c r="A29" s="70" t="n">
        <v>136</v>
      </c>
      <c r="B29" s="70" t="inlineStr">
        <is>
          <t>WS14 — WS 14: PPR Transition &amp; Migration</t>
        </is>
      </c>
      <c r="C29" s="70" t="inlineStr">
        <is>
          <t>E-WS14.3</t>
        </is>
      </c>
      <c r="D29" s="70" t="inlineStr">
        <is>
          <t>Benefit Issuance</t>
        </is>
      </c>
      <c r="E29" s="70" t="inlineStr">
        <is>
          <t>Seeded Gold / Platinum PPR account: reward selection required before redemption</t>
        </is>
      </c>
      <c r="F29" s="70" t="inlineStr">
        <is>
          <t>PPR-migrated account seeded into Gold or Platinum can transact immediately but cannot redeem rebate until reward type is selected. F&amp;D Bucks default applies after selection window expires.</t>
        </is>
      </c>
      <c r="G29" s="70" t="inlineStr">
        <is>
          <t>PPR-AS-8, J-CR-3</t>
        </is>
      </c>
      <c r="H29" s="70" t="inlineStr">
        <is>
          <t>AC: [Author TBD] Write Given/When/Then for happy path + edge cases.
    - Happy path: …
    - Edge case 1: …
    - Edge case 2: …
Definition of Ready: at least 2 ACs written and 0 unresolved Decision Log items.</t>
        </is>
      </c>
      <c r="I29" s="70" t="n"/>
      <c r="J29" s="70" t="inlineStr">
        <is>
          <t>Beta</t>
        </is>
      </c>
      <c r="K29" s="70" t="inlineStr">
        <is>
          <t>Relationship</t>
        </is>
      </c>
      <c r="L29" s="70" t="inlineStr">
        <is>
          <t>No</t>
        </is>
      </c>
      <c r="M29" s="70" t="n"/>
      <c r="N29" s="70" t="inlineStr">
        <is>
          <t>Not Started</t>
        </is>
      </c>
      <c r="O29" s="70" t="n"/>
    </row>
    <row r="30">
      <c r="A30" s="70" t="n">
        <v>137</v>
      </c>
      <c r="B30" s="70" t="inlineStr">
        <is>
          <t>WS2 — WS 2: Financial Awards &amp; Rewards</t>
        </is>
      </c>
      <c r="C30" s="70" t="inlineStr">
        <is>
          <t>E-WS2.4</t>
        </is>
      </c>
      <c r="D30" s="70" t="inlineStr">
        <is>
          <t>Benefit Issuance</t>
        </is>
      </c>
      <c r="E30" s="70" t="inlineStr">
        <is>
          <t>Rebate held as provisional until associated return window closes</t>
        </is>
      </c>
      <c r="F30" s="70" t="inlineStr">
        <is>
          <t>Loyalty engine treats rebate as provisional until the applicable return window passes (or all related returns are resolved) before finalizing for payout.</t>
        </is>
      </c>
      <c r="G30" s="70" t="inlineStr">
        <is>
          <t>E-CR-7</t>
        </is>
      </c>
      <c r="H30" s="70" t="inlineStr">
        <is>
          <t>AC: [Author TBD] Write Given/When/Then for happy path + edge cases.
    - Happy path: …
    - Edge case 1: …
    - Edge case 2: …
Definition of Ready: at least 2 ACs written and 0 unresolved Decision Log items.</t>
        </is>
      </c>
      <c r="I30" s="70" t="n"/>
      <c r="J30" s="70" t="inlineStr">
        <is>
          <t>Full Launch</t>
        </is>
      </c>
      <c r="K30" s="70" t="inlineStr">
        <is>
          <t>System</t>
        </is>
      </c>
      <c r="L30" s="70" t="inlineStr">
        <is>
          <t>No</t>
        </is>
      </c>
      <c r="M30" s="70" t="n"/>
      <c r="N30" s="70" t="inlineStr">
        <is>
          <t>Not Started</t>
        </is>
      </c>
      <c r="O30" s="70" t="n"/>
    </row>
    <row r="31">
      <c r="A31" s="70" t="n">
        <v>138</v>
      </c>
      <c r="B31" s="70" t="inlineStr">
        <is>
          <t>WS17 — WS 17: Security &amp; Identity</t>
        </is>
      </c>
      <c r="C31" s="70" t="inlineStr">
        <is>
          <t>E-WS17.1</t>
        </is>
      </c>
      <c r="D31" s="70" t="inlineStr">
        <is>
          <t>Benefit Redemption</t>
        </is>
      </c>
      <c r="E31" s="70" t="inlineStr">
        <is>
          <t>F&amp;D Bucks redemption requires 2-factor authentication at POS</t>
        </is>
      </c>
      <c r="F31" s="70" t="inlineStr">
        <is>
          <t>Before redeeming F&amp;D Bucks at POS, POS triggers a second-factor challenge (e.g., PRO app code or push approval) to confirm authorization.</t>
        </is>
      </c>
      <c r="G31" s="70" t="inlineStr">
        <is>
          <t>R-GC-1</t>
        </is>
      </c>
      <c r="H31" s="70" t="inlineStr">
        <is>
          <t>AC-1: GIVEN a PRO presents F&amp;D Bucks at POS
       WHEN the cashier initiates redemption
       THEN POS triggers a 2nd-factor challenge before applying the bucks
AC-2: GIVEN the 2nd-factor challenge times out or fails
       WHEN the timeout window elapses
       THEN redemption is cancelled and no bucks are debited
AC-3: GIVEN the PRO has set up 2FA in PRO app
       WHEN POS sends challenge
       THEN it appears in PRO app within ≤ 5 seconds
[Open] 2FA mechanism (app push vs. one-time code) — see Decision Log D-007</t>
        </is>
      </c>
      <c r="I31" s="70" t="inlineStr">
        <is>
          <t>2FA mechanism TBD (app push vs. code).</t>
        </is>
      </c>
      <c r="J31" s="70" t="inlineStr">
        <is>
          <t>Beta</t>
        </is>
      </c>
      <c r="K31" s="70" t="inlineStr">
        <is>
          <t>Relationship</t>
        </is>
      </c>
      <c r="L31" s="70" t="inlineStr">
        <is>
          <t>Yes</t>
        </is>
      </c>
      <c r="M31" s="70" t="n"/>
      <c r="N31" s="70" t="inlineStr">
        <is>
          <t>Not Started</t>
        </is>
      </c>
      <c r="O31" s="70" t="n"/>
    </row>
    <row r="32">
      <c r="A32" s="70" t="n">
        <v>139</v>
      </c>
      <c r="B32" s="70" t="inlineStr">
        <is>
          <t>WS2 — WS 2: Financial Awards &amp; Rewards</t>
        </is>
      </c>
      <c r="C32" s="70" t="inlineStr">
        <is>
          <t>E-WS2.2</t>
        </is>
      </c>
      <c r="D32" s="70" t="inlineStr">
        <is>
          <t>Benefit Redemption</t>
        </is>
      </c>
      <c r="E32" s="70" t="inlineStr">
        <is>
          <t>F&amp;D Bucks cannot be applied to gift cards or additional F&amp;D Bucks</t>
        </is>
      </c>
      <c r="F32" s="70" t="inlineStr">
        <is>
          <t>POS and eCommerce enforce product-level restrictions preventing F&amp;D Bucks from being used as tender to purchase gift cards or other F&amp;D Bucks.</t>
        </is>
      </c>
      <c r="G32" s="70" t="inlineStr">
        <is>
          <t>R-GC-3</t>
        </is>
      </c>
      <c r="H32" s="70" t="inlineStr">
        <is>
          <t>AC: [Author TBD] Write Given/When/Then for happy path + edge cases.
    - Happy path: …
    - Edge case 1: …
    - Edge case 2: …
Definition of Ready: at least 2 ACs written and 0 unresolved Decision Log items.</t>
        </is>
      </c>
      <c r="I32" s="70" t="n"/>
      <c r="J32" s="70" t="inlineStr">
        <is>
          <t>Beta</t>
        </is>
      </c>
      <c r="K32" s="70" t="inlineStr">
        <is>
          <t>System</t>
        </is>
      </c>
      <c r="L32" s="70" t="inlineStr">
        <is>
          <t>Yes</t>
        </is>
      </c>
      <c r="M32" s="70" t="n"/>
      <c r="N32" s="70" t="inlineStr">
        <is>
          <t>Not Started</t>
        </is>
      </c>
      <c r="O32" s="70" t="n"/>
    </row>
    <row r="33">
      <c r="A33" s="70" t="n">
        <v>140</v>
      </c>
      <c r="B33" s="70" t="inlineStr">
        <is>
          <t>WS2 — WS 2: Financial Awards &amp; Rewards</t>
        </is>
      </c>
      <c r="C33" s="70" t="inlineStr">
        <is>
          <t>E-WS2.2</t>
        </is>
      </c>
      <c r="D33" s="70" t="inlineStr">
        <is>
          <t>Benefit Redemption</t>
        </is>
      </c>
      <c r="E33" s="70" t="inlineStr">
        <is>
          <t>F&amp;D Bucks redeemed FIFO (oldest issuance consumed first)</t>
        </is>
      </c>
      <c r="F33" s="70" t="inlineStr">
        <is>
          <t>When multiple F&amp;D Bucks are available, redemption consumes the earliest-issued bucks first to minimize forfeiture risk.</t>
        </is>
      </c>
      <c r="G33" s="70" t="inlineStr">
        <is>
          <t>R-GC-7</t>
        </is>
      </c>
      <c r="H33" s="70" t="inlineStr">
        <is>
          <t>AC-1: GIVEN F&amp;D Bucks issued 2026-01-01, 2026-02-01, 2026-03-01 all valued $50
       WHEN PRO redeems $50
       THEN the 2026-01-01 bucks are consumed first
AC-2: GIVEN one buck nearer expiry than another (FIFO tie)
       WHEN PRO redeems
       THEN expiring-soonest is preferred (FIFO with expiry tiebreaker)
       [Open] confirm tiebreaker policy — see Decision Log
AC-3: GIVEN redemption amount exceeds oldest buck's value
       WHEN PRO redeems
       THEN oldest is fully consumed; next-oldest covers remainder (partial)</t>
        </is>
      </c>
      <c r="I33" s="70" t="n"/>
      <c r="J33" s="70" t="inlineStr">
        <is>
          <t>Beta</t>
        </is>
      </c>
      <c r="K33" s="70" t="inlineStr">
        <is>
          <t>System</t>
        </is>
      </c>
      <c r="L33" s="70" t="inlineStr">
        <is>
          <t>Yes</t>
        </is>
      </c>
      <c r="M33" s="70" t="n"/>
      <c r="N33" s="70" t="inlineStr">
        <is>
          <t>Not Started</t>
        </is>
      </c>
      <c r="O33" s="70" t="n"/>
    </row>
    <row r="34">
      <c r="A34" s="70" t="n">
        <v>141</v>
      </c>
      <c r="B34" s="70" t="inlineStr">
        <is>
          <t>WS2 — WS 2: Financial Awards &amp; Rewards</t>
        </is>
      </c>
      <c r="C34" s="70" t="inlineStr">
        <is>
          <t>E-WS2.3</t>
        </is>
      </c>
      <c r="D34" s="70" t="inlineStr">
        <is>
          <t>Benefit Redemption</t>
        </is>
      </c>
      <c r="E34" s="70" t="inlineStr">
        <is>
          <t>Admin manually reinstates expired F&amp;D Bucks via controlled override</t>
        </is>
      </c>
      <c r="F34" s="70" t="inlineStr">
        <is>
          <t>Customer Care / authorized admin can reinstate expired F&amp;D Bucks for documented system errors using a controlled override workflow. Standard automatic reinstatement is blocked.</t>
        </is>
      </c>
      <c r="G34" s="70" t="inlineStr">
        <is>
          <t>R-GC-6</t>
        </is>
      </c>
      <c r="H34" s="70" t="inlineStr">
        <is>
          <t>AC: [Author TBD] Write Given/When/Then for happy path + edge cases.
    - Happy path: …
    - Edge case 1: …
    - Edge case 2: …
Definition of Ready: at least 2 ACs written and 0 unresolved Decision Log items.</t>
        </is>
      </c>
      <c r="I34" s="70" t="inlineStr">
        <is>
          <t>Override permission scope TBD.</t>
        </is>
      </c>
      <c r="J34" s="70" t="inlineStr">
        <is>
          <t>Beta</t>
        </is>
      </c>
      <c r="K34" s="70" t="inlineStr">
        <is>
          <t>System</t>
        </is>
      </c>
      <c r="L34" s="70" t="inlineStr">
        <is>
          <t>No</t>
        </is>
      </c>
      <c r="M34" s="70" t="n"/>
      <c r="N34" s="70" t="inlineStr">
        <is>
          <t>Not Started</t>
        </is>
      </c>
      <c r="O34" s="70" t="n"/>
    </row>
    <row r="35">
      <c r="A35" s="70" t="n">
        <v>142</v>
      </c>
      <c r="B35" s="70" t="inlineStr">
        <is>
          <t>WS3 — WS 3: Transaction &amp; Spend Ingestion</t>
        </is>
      </c>
      <c r="C35" s="70" t="inlineStr">
        <is>
          <t>E-WS3.4</t>
        </is>
      </c>
      <c r="D35" s="70" t="inlineStr">
        <is>
          <t>Benefit Redemption</t>
        </is>
      </c>
      <c r="E35" s="70" t="inlineStr">
        <is>
          <t>Return drops eligible spend below $1K issuance threshold — F&amp;D Bucks voided or deducted from refund</t>
        </is>
      </c>
      <c r="F35" s="70" t="inlineStr">
        <is>
          <t>A return reduces eligible spend below the $1K issuance threshold. Loyalty engine voids unused F&amp;D Bucks tied to that spend. If those bucks were already redeemed, POS deducts the equivalent value from the customer's refund.</t>
        </is>
      </c>
      <c r="G35" s="70" t="inlineStr">
        <is>
          <t>M-GC-2</t>
        </is>
      </c>
      <c r="H35" s="70" t="inlineStr">
        <is>
          <t>AC-1: GIVEN a transaction with $1,200 eligible spend issued 1 F&amp;D Buck
       WHEN a return reduces eligible spend to $800
       THEN the unredeemed F&amp;D Buck is voided automatically
AC-2: GIVEN that issued F&amp;D Buck was already redeemed
       WHEN the return is processed
       THEN POS deducts the F&amp;D Buck value from the customer's refund
AC-3: GIVEN a return that does not drop eligible spend below threshold
       WHEN return is processed
       THEN F&amp;D Buck remains valid</t>
        </is>
      </c>
      <c r="I35" s="70" t="n"/>
      <c r="J35" s="70" t="inlineStr">
        <is>
          <t>Beta</t>
        </is>
      </c>
      <c r="K35" s="70" t="inlineStr">
        <is>
          <t>System</t>
        </is>
      </c>
      <c r="L35" s="70" t="inlineStr">
        <is>
          <t>Yes</t>
        </is>
      </c>
      <c r="M35" s="70" t="n"/>
      <c r="N35" s="70" t="inlineStr">
        <is>
          <t>Not Started</t>
        </is>
      </c>
      <c r="O35" s="70" t="n"/>
    </row>
    <row r="36">
      <c r="A36" s="70" t="n">
        <v>143</v>
      </c>
      <c r="B36" s="70" t="inlineStr">
        <is>
          <t>WS3 — WS 3: Transaction &amp; Spend Ingestion</t>
        </is>
      </c>
      <c r="C36" s="70" t="inlineStr">
        <is>
          <t>E-WS3.4</t>
        </is>
      </c>
      <c r="D36" s="70" t="inlineStr">
        <is>
          <t>Benefit Redemption</t>
        </is>
      </c>
      <c r="E36" s="70" t="inlineStr">
        <is>
          <t>Multi-tender return priority: cash → credit → gift card → store credit → F&amp;D Bucks</t>
        </is>
      </c>
      <c r="F36" s="70" t="inlineStr">
        <is>
          <t>When a return crosses multiple tender types, POS executes refunds in the defined priority order. F&amp;D Bucks are the last tender to be refunded.</t>
        </is>
      </c>
      <c r="G36" s="70" t="inlineStr">
        <is>
          <t>M-GC-7, M-GC-7b</t>
        </is>
      </c>
      <c r="H36" s="70" t="inlineStr">
        <is>
          <t>AC-1: GIVEN a transaction paid with cash + credit + F&amp;D Bucks
       WHEN a return is processed
       THEN refunds occur in order: cash, credit, gift card, store credit, F&amp;D Bucks
AC-2: GIVEN the return amount is less than the cash tender
       WHEN return processes
       THEN entire refund issued as cash; no F&amp;D Bucks reinstated</t>
        </is>
      </c>
      <c r="I36" s="70" t="n"/>
      <c r="J36" s="70" t="inlineStr">
        <is>
          <t>Beta</t>
        </is>
      </c>
      <c r="K36" s="70" t="inlineStr">
        <is>
          <t>System</t>
        </is>
      </c>
      <c r="L36" s="70" t="inlineStr">
        <is>
          <t>Yes</t>
        </is>
      </c>
      <c r="M36" s="70" t="n"/>
      <c r="N36" s="70" t="inlineStr">
        <is>
          <t>Not Started</t>
        </is>
      </c>
      <c r="O36" s="70" t="n"/>
    </row>
    <row r="37">
      <c r="A37" s="70" t="n">
        <v>144</v>
      </c>
      <c r="B37" s="70" t="inlineStr">
        <is>
          <t>WS7 — WS 7: Integration Service &amp; Event Backbone</t>
        </is>
      </c>
      <c r="C37" s="70" t="inlineStr">
        <is>
          <t>E-WS7.1</t>
        </is>
      </c>
      <c r="D37" s="70" t="inlineStr">
        <is>
          <t>Benefit Redemption</t>
        </is>
      </c>
      <c r="E37" s="70" t="inlineStr">
        <is>
          <t>F&amp;D Bucks balance updated near-real-time on redemption; daily sync to all channels</t>
        </is>
      </c>
      <c r="F37" s="70" t="inlineStr">
        <is>
          <t>Loyalty engine updates F&amp;D Bucks balance near-real-time at redemption and performs daily synchronization to POS, eCommerce, and PRO app wallet to keep balances consistent.</t>
        </is>
      </c>
      <c r="G37" s="70" t="inlineStr">
        <is>
          <t>R-GC-4, M-GC-3</t>
        </is>
      </c>
      <c r="H37" s="70" t="inlineStr">
        <is>
          <t>AC: [Author TBD] Write Given/When/Then for happy path + edge cases.
    - Happy path: …
    - Edge case 1: …
    - Edge case 2: …
Definition of Ready: at least 2 ACs written and 0 unresolved Decision Log items.</t>
        </is>
      </c>
      <c r="I37" s="70" t="n"/>
      <c r="J37" s="70" t="inlineStr">
        <is>
          <t>Beta</t>
        </is>
      </c>
      <c r="K37" s="70" t="inlineStr">
        <is>
          <t>System</t>
        </is>
      </c>
      <c r="L37" s="70" t="inlineStr">
        <is>
          <t>Yes</t>
        </is>
      </c>
      <c r="M37" s="70" t="n"/>
      <c r="N37" s="70" t="inlineStr">
        <is>
          <t>Not Started</t>
        </is>
      </c>
      <c r="O37" s="70" t="n"/>
    </row>
    <row r="38">
      <c r="A38" s="70" t="n">
        <v>145</v>
      </c>
      <c r="B38" s="70" t="inlineStr">
        <is>
          <t>WS12 — WS 12: POS / Store Workflows (Veras)</t>
        </is>
      </c>
      <c r="C38" s="70" t="inlineStr">
        <is>
          <t>E-WS12.3</t>
        </is>
      </c>
      <c r="D38" s="70" t="inlineStr">
        <is>
          <t>Benefit Redemption</t>
        </is>
      </c>
      <c r="E38" s="70" t="inlineStr">
        <is>
          <t>Free delivery redemption marked off by associate; counter decremented at POS / PRO desk</t>
        </is>
      </c>
      <c r="F38" s="70" t="inlineStr">
        <is>
          <t>Associate marks free delivery used at POS / PRO desk for a Gold-tier PRO; loyalty engine decrements counter and PRO desk coordinates with delivery partner.</t>
        </is>
      </c>
      <c r="G38" s="70" t="inlineStr">
        <is>
          <t>D-EM-6, SO-WF-6</t>
        </is>
      </c>
      <c r="H38" s="70" t="inlineStr">
        <is>
          <t>AC: [Author TBD] Write Given/When/Then for happy path + edge cases.
    - Happy path: …
    - Edge case 1: …
    - Edge case 2: …
Definition of Ready: at least 2 ACs written and 0 unresolved Decision Log items.</t>
        </is>
      </c>
      <c r="I38" s="70" t="n"/>
      <c r="J38" s="70" t="inlineStr">
        <is>
          <t>Beta</t>
        </is>
      </c>
      <c r="K38" s="70" t="inlineStr">
        <is>
          <t>System</t>
        </is>
      </c>
      <c r="L38" s="70" t="inlineStr">
        <is>
          <t>No</t>
        </is>
      </c>
      <c r="M38" s="70" t="n"/>
      <c r="N38" s="70" t="inlineStr">
        <is>
          <t>Not Started</t>
        </is>
      </c>
      <c r="O38" s="70" t="n"/>
    </row>
    <row r="39">
      <c r="A39" s="70" t="n">
        <v>146</v>
      </c>
      <c r="B39" s="70" t="inlineStr">
        <is>
          <t>WS8 — WS 8: CRM Systems Enablement</t>
        </is>
      </c>
      <c r="C39" s="70" t="inlineStr">
        <is>
          <t>E-WS8.1</t>
        </is>
      </c>
      <c r="D39" s="70" t="inlineStr">
        <is>
          <t>Account and Identity</t>
        </is>
      </c>
      <c r="E39" s="70" t="inlineStr">
        <is>
          <t>Email already used as primary on another account — creation blocked; user prompted to add secondary email</t>
        </is>
      </c>
      <c r="F39" s="70" t="inlineStr">
        <is>
          <t>A user attempting to create a second loyalty account using an email already in use as a primary on another account is blocked. User may add a different email to their user profile to proceed.</t>
        </is>
      </c>
      <c r="G39" s="70" t="inlineStr">
        <is>
          <t>CRM-AS-22</t>
        </is>
      </c>
      <c r="H39" s="70" t="inlineStr">
        <is>
          <t>AC: [Author TBD] Write Given/When/Then for happy path + edge cases.
    - Happy path: …
    - Edge case 1: …
    - Edge case 2: …
Definition of Ready: at least 2 ACs written and 0 unresolved Decision Log items.</t>
        </is>
      </c>
      <c r="I39" s="70" t="n"/>
      <c r="J39" s="70" t="inlineStr">
        <is>
          <t>Beta</t>
        </is>
      </c>
      <c r="K39" s="70" t="inlineStr">
        <is>
          <t>Relationship</t>
        </is>
      </c>
      <c r="L39" s="70" t="inlineStr">
        <is>
          <t>No</t>
        </is>
      </c>
      <c r="M39" s="70" t="n"/>
      <c r="N39" s="70" t="inlineStr">
        <is>
          <t>Not Started</t>
        </is>
      </c>
      <c r="O39" s="70" t="n"/>
    </row>
    <row r="40">
      <c r="A40" s="70" t="n">
        <v>147</v>
      </c>
      <c r="B40" s="70" t="inlineStr">
        <is>
          <t>WS8 — WS 8: CRM Systems Enablement</t>
        </is>
      </c>
      <c r="C40" s="70" t="inlineStr">
        <is>
          <t>E-WS8.1</t>
        </is>
      </c>
      <c r="D40" s="70" t="inlineStr">
        <is>
          <t>Account and Identity</t>
        </is>
      </c>
      <c r="E40" s="70" t="inlineStr">
        <is>
          <t>Single user is primary on one account and delegate on another</t>
        </is>
      </c>
      <c r="F40" s="70" t="inlineStr">
        <is>
          <t>A single user profile is linked to multiple PRO accounts with different roles per account. Permissions and benefit routing are evaluated per account-contact relationship, not at user level.</t>
        </is>
      </c>
      <c r="G40" s="70" t="inlineStr">
        <is>
          <t>CRM-AS-9, CRM-AS-10, CRM-AS-11, CRM-AS-14, CRM-CM-6</t>
        </is>
      </c>
      <c r="H40" s="70" t="inlineStr">
        <is>
          <t>AC: [Author TBD] Write Given/When/Then for happy path + edge cases.
    - Happy path: …
    - Edge case 1: …
    - Edge case 2: …
Definition of Ready: at least 2 ACs written and 0 unresolved Decision Log items.</t>
        </is>
      </c>
      <c r="I40" s="70" t="n"/>
      <c r="J40" s="70" t="inlineStr">
        <is>
          <t>Beta</t>
        </is>
      </c>
      <c r="K40" s="70" t="inlineStr">
        <is>
          <t>Relationship</t>
        </is>
      </c>
      <c r="L40" s="70" t="inlineStr">
        <is>
          <t>No</t>
        </is>
      </c>
      <c r="M40" s="70" t="n"/>
      <c r="N40" s="70" t="inlineStr">
        <is>
          <t>Not Started</t>
        </is>
      </c>
      <c r="O40" s="70" t="n"/>
    </row>
    <row r="41">
      <c r="A41" s="70" t="n">
        <v>148</v>
      </c>
      <c r="B41" s="70" t="inlineStr">
        <is>
          <t>WS8 — WS 8: CRM Systems Enablement</t>
        </is>
      </c>
      <c r="C41" s="70" t="inlineStr">
        <is>
          <t>E-WS8.3</t>
        </is>
      </c>
      <c r="D41" s="70" t="inlineStr">
        <is>
          <t>Account and Identity</t>
        </is>
      </c>
      <c r="E41" s="70" t="inlineStr">
        <is>
          <t>Franchise locations represented as separate PRO accounts — parent brand for reporting only</t>
        </is>
      </c>
      <c r="F41" s="70" t="inlineStr">
        <is>
          <t>Independently operated franchisee locations are distinct PRO accounts with their own loyalty benefits. National parent organization may exist in CRM for reference reporting only and does not receive or aggregate benefits.</t>
        </is>
      </c>
      <c r="G41" s="70" t="inlineStr">
        <is>
          <t>CRM-AS-20</t>
        </is>
      </c>
      <c r="H41" s="70" t="inlineStr">
        <is>
          <t>AC: [Author TBD] Write Given/When/Then for happy path + edge cases.
    - Happy path: …
    - Edge case 1: …
    - Edge case 2: …
Definition of Ready: at least 2 ACs written and 0 unresolved Decision Log items.</t>
        </is>
      </c>
      <c r="I41" s="70" t="n"/>
      <c r="J41" s="70" t="inlineStr">
        <is>
          <t>Beta</t>
        </is>
      </c>
      <c r="K41" s="70" t="inlineStr">
        <is>
          <t>System</t>
        </is>
      </c>
      <c r="L41" s="70" t="inlineStr">
        <is>
          <t>No</t>
        </is>
      </c>
      <c r="M41" s="70" t="n"/>
      <c r="N41" s="70" t="inlineStr">
        <is>
          <t>Not Started</t>
        </is>
      </c>
      <c r="O41" s="70" t="n"/>
    </row>
    <row r="42">
      <c r="A42" s="70" t="n">
        <v>149</v>
      </c>
      <c r="B42" s="70" t="inlineStr">
        <is>
          <t>WS8 — WS 8: CRM Systems Enablement</t>
        </is>
      </c>
      <c r="C42" s="70" t="inlineStr">
        <is>
          <t>E-WS8.2</t>
        </is>
      </c>
      <c r="D42" s="70" t="inlineStr">
        <is>
          <t>Account and Identity</t>
        </is>
      </c>
      <c r="E42" s="70" t="inlineStr">
        <is>
          <t>Account creation duplicate detection by email and phone</t>
        </is>
      </c>
      <c r="F42" s="70" t="inlineStr">
        <is>
          <t>At enrollment, CRM checks for existing user profiles by email and phone to prevent duplicate user records. Matches trigger linking / account-association flow instead of creating a duplicate.</t>
        </is>
      </c>
      <c r="G42" s="70" t="inlineStr">
        <is>
          <t>CRM-DF-9, CRM-CM-4, CRM-AS-1, CRM-DF-2</t>
        </is>
      </c>
      <c r="H42" s="70" t="inlineStr">
        <is>
          <t>AC-1: GIVEN PRO submits an enrollment with an email already in use as primary
       WHEN CRM validates
       THEN creation is blocked and PRO is prompted to add a different email
AC-2: GIVEN PRO submits with a phone number matching an existing user
       WHEN CRM validates
       THEN match prompts linking flow rather than creating duplicate user
AC-3: GIVEN both email and phone are new
       WHEN CRM validates
       THEN enrollment proceeds and account is created in Red tier</t>
        </is>
      </c>
      <c r="I42" s="70" t="n"/>
      <c r="J42" s="70" t="inlineStr">
        <is>
          <t>Beta</t>
        </is>
      </c>
      <c r="K42" s="70" t="inlineStr">
        <is>
          <t>System</t>
        </is>
      </c>
      <c r="L42" s="70" t="inlineStr">
        <is>
          <t>No</t>
        </is>
      </c>
      <c r="M42" s="70" t="n"/>
      <c r="N42" s="70" t="inlineStr">
        <is>
          <t>Not Started</t>
        </is>
      </c>
      <c r="O42" s="70" t="n"/>
    </row>
    <row r="43">
      <c r="A43" s="70" t="n">
        <v>150</v>
      </c>
      <c r="B43" s="70" t="inlineStr">
        <is>
          <t>WS8 — WS 8: CRM Systems Enablement</t>
        </is>
      </c>
      <c r="C43" s="70" t="inlineStr">
        <is>
          <t>E-WS8.5</t>
        </is>
      </c>
      <c r="D43" s="70" t="inlineStr">
        <is>
          <t>Account and Identity</t>
        </is>
      </c>
      <c r="E43" s="70" t="inlineStr">
        <is>
          <t>Customer Care updates account fields on behalf of PRO</t>
        </is>
      </c>
      <c r="F43" s="70" t="inlineStr">
        <is>
          <t>When self-service updates are unavailable, Customer Care updates account-level fields (mailing, delegate, business info) and changes propagate to downstream systems.</t>
        </is>
      </c>
      <c r="G43" s="70" t="inlineStr">
        <is>
          <t>SO-AI-6, MC-TRN-7, CRM-DF-10</t>
        </is>
      </c>
      <c r="H43" s="70" t="inlineStr">
        <is>
          <t>AC: [Author TBD] Write Given/When/Then for happy path + edge cases.
    - Happy path: …
    - Edge case 1: …
    - Edge case 2: …
Definition of Ready: at least 2 ACs written and 0 unresolved Decision Log items.</t>
        </is>
      </c>
      <c r="I43" s="70" t="inlineStr">
        <is>
          <t>Customer Care training required.</t>
        </is>
      </c>
      <c r="J43" s="70" t="inlineStr">
        <is>
          <t>Beta</t>
        </is>
      </c>
      <c r="K43" s="70" t="inlineStr">
        <is>
          <t>Relationship</t>
        </is>
      </c>
      <c r="L43" s="70" t="inlineStr">
        <is>
          <t>No</t>
        </is>
      </c>
      <c r="M43" s="70" t="n"/>
      <c r="N43" s="70" t="inlineStr">
        <is>
          <t>Not Started</t>
        </is>
      </c>
      <c r="O43" s="70" t="n"/>
    </row>
    <row r="44">
      <c r="A44" s="70" t="n">
        <v>151</v>
      </c>
      <c r="B44" s="70" t="inlineStr">
        <is>
          <t>WS8 — WS 8: CRM Systems Enablement</t>
        </is>
      </c>
      <c r="C44" s="70" t="inlineStr">
        <is>
          <t>E-WS8.2</t>
        </is>
      </c>
      <c r="D44" s="70" t="inlineStr">
        <is>
          <t>Account and Identity</t>
        </is>
      </c>
      <c r="E44" s="70" t="inlineStr">
        <is>
          <t>Account flagged as having incomplete profile — surfaced to associate and prompted in PRO app</t>
        </is>
      </c>
      <c r="F44" s="70" t="inlineStr">
        <is>
          <t>CRM flags accounts missing required fields (business name, email, phone, PRO type, language preference, mailing address, etc.). Flag surfaces to associate at POS / PRO desk; PRO is prompted in-app to complete the profile.</t>
        </is>
      </c>
      <c r="G44" s="70" t="inlineStr">
        <is>
          <t>MC-TRN-6, PPR-DC-3, SO-AI-7, CRM-DF-2</t>
        </is>
      </c>
      <c r="H44" s="70" t="inlineStr">
        <is>
          <t>AC: [Author TBD] Write Given/When/Then for happy path + edge cases.
    - Happy path: …
    - Edge case 1: …
    - Edge case 2: …
Definition of Ready: at least 2 ACs written and 0 unresolved Decision Log items.</t>
        </is>
      </c>
      <c r="I44" s="70" t="inlineStr">
        <is>
          <t>Required-field list per CRM-DF-1; outstanding open question on full set.</t>
        </is>
      </c>
      <c r="J44" s="70" t="inlineStr">
        <is>
          <t>Beta</t>
        </is>
      </c>
      <c r="K44" s="70" t="inlineStr">
        <is>
          <t>System</t>
        </is>
      </c>
      <c r="L44" s="70" t="inlineStr">
        <is>
          <t>No</t>
        </is>
      </c>
      <c r="M44" s="70" t="n"/>
      <c r="N44" s="70" t="inlineStr">
        <is>
          <t>Not Started</t>
        </is>
      </c>
      <c r="O44" s="70" t="n"/>
    </row>
    <row r="45">
      <c r="A45" s="70" t="n">
        <v>152</v>
      </c>
      <c r="B45" s="70" t="inlineStr">
        <is>
          <t>WS8 — WS 8: CRM Systems Enablement</t>
        </is>
      </c>
      <c r="C45" s="70" t="inlineStr">
        <is>
          <t>E-WS8.1</t>
        </is>
      </c>
      <c r="D45" s="70" t="inlineStr">
        <is>
          <t>Account and Identity</t>
        </is>
      </c>
      <c r="E45" s="70" t="inlineStr">
        <is>
          <t>Primary self-identifies at account creation; manual override / dispute workflow available</t>
        </is>
      </c>
      <c r="F45" s="70" t="inlineStr">
        <is>
          <t>Account primary is self-designated at creation; CRM provides a manual override / validation workflow for resolution of conflicts or disputes, with Customer Care support.</t>
        </is>
      </c>
      <c r="G45" s="70" t="inlineStr">
        <is>
          <t>CRM-AS-6, CRM-CM-2, CRM-CM-7</t>
        </is>
      </c>
      <c r="H45" s="70" t="inlineStr">
        <is>
          <t>AC: [Author TBD] Write Given/When/Then for happy path + edge cases.
    - Happy path: …
    - Edge case 1: …
    - Edge case 2: …
Definition of Ready: at least 2 ACs written and 0 unresolved Decision Log items.</t>
        </is>
      </c>
      <c r="I45" s="70" t="inlineStr">
        <is>
          <t>Self-identification model accepted to limit FND ownership adjudication liability.</t>
        </is>
      </c>
      <c r="J45" s="70" t="inlineStr">
        <is>
          <t>Beta</t>
        </is>
      </c>
      <c r="K45" s="70" t="inlineStr">
        <is>
          <t>Relationship</t>
        </is>
      </c>
      <c r="L45" s="70" t="inlineStr">
        <is>
          <t>No</t>
        </is>
      </c>
      <c r="M45" s="70" t="n"/>
      <c r="N45" s="70" t="inlineStr">
        <is>
          <t>Not Started</t>
        </is>
      </c>
      <c r="O45" s="70" t="n"/>
    </row>
    <row r="46">
      <c r="A46" s="70" t="n">
        <v>153</v>
      </c>
      <c r="B46" s="70" t="inlineStr">
        <is>
          <t>WS8 — WS 8: CRM Systems Enablement</t>
        </is>
      </c>
      <c r="C46" s="70" t="inlineStr">
        <is>
          <t>E-WS8.1</t>
        </is>
      </c>
      <c r="D46" s="70" t="inlineStr">
        <is>
          <t>Account and Identity</t>
        </is>
      </c>
      <c r="E46" s="70" t="inlineStr">
        <is>
          <t>Multi-business primary user uses secondary email to be primary on a second account</t>
        </is>
      </c>
      <c r="F46" s="70" t="inlineStr">
        <is>
          <t>An existing primary uses a distinct email to create and own a second loyalty account. Both accounts link to the same user profile via the user's email aliases.</t>
        </is>
      </c>
      <c r="G46" s="70" t="inlineStr">
        <is>
          <t>CRM-AS-22</t>
        </is>
      </c>
      <c r="H46" s="70" t="inlineStr">
        <is>
          <t>AC: [Author TBD] Write Given/When/Then for happy path + edge cases.
    - Happy path: …
    - Edge case 1: …
    - Edge case 2: …
Definition of Ready: at least 2 ACs written and 0 unresolved Decision Log items.</t>
        </is>
      </c>
      <c r="I46" s="70" t="n"/>
      <c r="J46" s="70" t="inlineStr">
        <is>
          <t>Beta</t>
        </is>
      </c>
      <c r="K46" s="70" t="inlineStr">
        <is>
          <t>Relationship</t>
        </is>
      </c>
      <c r="L46" s="70" t="inlineStr">
        <is>
          <t>No</t>
        </is>
      </c>
      <c r="M46" s="70" t="n"/>
      <c r="N46" s="70" t="inlineStr">
        <is>
          <t>Not Started</t>
        </is>
      </c>
      <c r="O46" s="70" t="n"/>
    </row>
    <row r="47">
      <c r="A47" s="70" t="n">
        <v>154</v>
      </c>
      <c r="B47" s="70" t="inlineStr">
        <is>
          <t>WS8 — WS 8: CRM Systems Enablement</t>
        </is>
      </c>
      <c r="C47" s="70" t="inlineStr">
        <is>
          <t>E-WS8.4</t>
        </is>
      </c>
      <c r="D47" s="70" t="inlineStr">
        <is>
          <t>Account and Identity</t>
        </is>
      </c>
      <c r="E47" s="70" t="inlineStr">
        <is>
          <t>Delegate removed mid-redemption / mid-transaction</t>
        </is>
      </c>
      <c r="F47" s="70" t="inlineStr">
        <is>
          <t>Primary removes a delegate while that delegate has an in-flight redemption or transaction. Loyalty engine voids the in-flight authorization gracefully; completed actions remain attributed.</t>
        </is>
      </c>
      <c r="G47" s="70" t="inlineStr">
        <is>
          <t>CRM-AS-13, CRM Permission Matrix</t>
        </is>
      </c>
      <c r="H47" s="70" t="inlineStr">
        <is>
          <t>AC: [Author TBD] Write Given/When/Then for happy path + edge cases.
    - Happy path: …
    - Edge case 1: …
    - Edge case 2: …
Definition of Ready: at least 2 ACs written and 0 unresolved Decision Log items.</t>
        </is>
      </c>
      <c r="I47" s="70" t="inlineStr">
        <is>
          <t>Race condition handling needs design.</t>
        </is>
      </c>
      <c r="J47" s="70" t="inlineStr">
        <is>
          <t>Full Launch</t>
        </is>
      </c>
      <c r="K47" s="70" t="inlineStr">
        <is>
          <t>Relationship</t>
        </is>
      </c>
      <c r="L47" s="70" t="inlineStr">
        <is>
          <t>Yes</t>
        </is>
      </c>
      <c r="M47" s="70" t="n"/>
      <c r="N47" s="70" t="inlineStr">
        <is>
          <t>Not Started</t>
        </is>
      </c>
      <c r="O47" s="70" t="n"/>
    </row>
    <row r="48">
      <c r="A48" s="70" t="n">
        <v>155</v>
      </c>
      <c r="B48" s="70" t="inlineStr">
        <is>
          <t>WS8 — WS 8: CRM Systems Enablement</t>
        </is>
      </c>
      <c r="C48" s="70" t="inlineStr">
        <is>
          <t>E-WS8.1</t>
        </is>
      </c>
      <c r="D48" s="70" t="inlineStr">
        <is>
          <t>Account and Identity</t>
        </is>
      </c>
      <c r="E48" s="70" t="inlineStr">
        <is>
          <t>Account deactivated — outstanding F&amp;D Bucks and pending rebate disposition</t>
        </is>
      </c>
      <c r="F48" s="70" t="inlineStr">
        <is>
          <t>Account is deactivated (closed by PRO or by F&amp;D). Loyalty engine defines disposition of outstanding F&amp;D Bucks (forfeit / honor for window) and pending rebate (disburse / forfeit per policy).</t>
        </is>
      </c>
      <c r="G48" s="70" t="inlineStr">
        <is>
          <t>FA-ACT-7, R-CR-4, R-CR-5</t>
        </is>
      </c>
      <c r="H48" s="70" t="inlineStr">
        <is>
          <t>AC-1: GIVEN an account with outstanding F&amp;D Bucks and pending rebate is deactivated
       WHEN deactivation is processed
       THEN policy P (TBD) applies: forfeit / honor for window / disburse pending rebate
[Open] Deactivation disposition policy — see Decision Log D-015</t>
        </is>
      </c>
      <c r="I48" s="70" t="inlineStr">
        <is>
          <t>Deactivation policy TBD.</t>
        </is>
      </c>
      <c r="J48" s="70" t="inlineStr">
        <is>
          <t>Full Launch</t>
        </is>
      </c>
      <c r="K48" s="70" t="inlineStr">
        <is>
          <t>Relationship</t>
        </is>
      </c>
      <c r="L48" s="70" t="inlineStr">
        <is>
          <t>No</t>
        </is>
      </c>
      <c r="M48" s="70" t="n"/>
      <c r="N48" s="70" t="inlineStr">
        <is>
          <t>Not Started</t>
        </is>
      </c>
      <c r="O48" s="70" t="n"/>
    </row>
    <row r="49">
      <c r="A49" s="70" t="n">
        <v>156</v>
      </c>
      <c r="B49" s="70" t="inlineStr">
        <is>
          <t>WS8 — WS 8: CRM Systems Enablement</t>
        </is>
      </c>
      <c r="C49" s="70" t="inlineStr">
        <is>
          <t>E-WS8.3</t>
        </is>
      </c>
      <c r="D49" s="70" t="inlineStr">
        <is>
          <t>Account and Identity</t>
        </is>
      </c>
      <c r="E49" s="70" t="inlineStr">
        <is>
          <t>Account merge — role conflict (user is primary on both merging accounts)</t>
        </is>
      </c>
      <c r="F49" s="70" t="inlineStr">
        <is>
          <t>When two accounts are merged and the same user is primary on both, the merge workflow surfaces a conflict requiring explicit primary selection for the resulting account.</t>
        </is>
      </c>
      <c r="G49" s="70" t="inlineStr">
        <is>
          <t>CRM-AS-4, CRM-CM-4</t>
        </is>
      </c>
      <c r="H49" s="70" t="inlineStr">
        <is>
          <t>AC-1: GIVEN merge of accounts A and B where user X is primary on both
       WHEN merge is requested
       THEN system surfaces conflict and requires explicit primary selection
AC-2: GIVEN merge is approved with primary = X (A)
       WHEN merge completes
       THEN combined account has X as primary; B's prior delegates retained
       AND audit trail records original primaries</t>
        </is>
      </c>
      <c r="I49" s="70" t="inlineStr">
        <is>
          <t>Conflict resolution UX TBD.</t>
        </is>
      </c>
      <c r="J49" s="70" t="inlineStr">
        <is>
          <t>Full Launch</t>
        </is>
      </c>
      <c r="K49" s="70" t="inlineStr">
        <is>
          <t>Relationship</t>
        </is>
      </c>
      <c r="L49" s="70" t="inlineStr">
        <is>
          <t>No</t>
        </is>
      </c>
      <c r="M49" s="70" t="n"/>
      <c r="N49" s="70" t="inlineStr">
        <is>
          <t>Not Started</t>
        </is>
      </c>
      <c r="O49" s="70" t="n"/>
    </row>
    <row r="50">
      <c r="A50" s="70" t="n">
        <v>157</v>
      </c>
      <c r="B50" s="70" t="inlineStr">
        <is>
          <t>WS13 — WS 13: Marketing &amp; Communications</t>
        </is>
      </c>
      <c r="C50" s="70" t="inlineStr">
        <is>
          <t>E-WS13.3</t>
        </is>
      </c>
      <c r="D50" s="70" t="inlineStr">
        <is>
          <t>Account and Identity</t>
        </is>
      </c>
      <c r="E50" s="70" t="inlineStr">
        <is>
          <t>Language preference captured per user (Spanish supported)</t>
        </is>
      </c>
      <c r="F50" s="70" t="inlineStr">
        <is>
          <t>User language preference (English / Spanish) is captured at user level and drives comms and app localization.</t>
        </is>
      </c>
      <c r="G50" s="70" t="inlineStr">
        <is>
          <t>MC-TRN-9, MC-TMI-6, CRM-DF-1</t>
        </is>
      </c>
      <c r="H50" s="70" t="inlineStr">
        <is>
          <t>AC: [Author TBD] Write Given/When/Then for happy path + edge cases.
    - Happy path: …
    - Edge case 1: …
    - Edge case 2: …
Definition of Ready: at least 2 ACs written and 0 unresolved Decision Log items.</t>
        </is>
      </c>
      <c r="I50" s="70" t="n"/>
      <c r="J50" s="70" t="inlineStr">
        <is>
          <t>Beta</t>
        </is>
      </c>
      <c r="K50" s="70" t="inlineStr">
        <is>
          <t>Relationship</t>
        </is>
      </c>
      <c r="L50" s="70" t="inlineStr">
        <is>
          <t>No</t>
        </is>
      </c>
      <c r="M50" s="70" t="n"/>
      <c r="N50" s="70" t="inlineStr">
        <is>
          <t>Not Started</t>
        </is>
      </c>
      <c r="O50" s="70" t="n"/>
    </row>
    <row r="51">
      <c r="A51" s="70" t="n">
        <v>158</v>
      </c>
      <c r="B51" s="70" t="inlineStr">
        <is>
          <t>WS8 — WS 8: CRM Systems Enablement</t>
        </is>
      </c>
      <c r="C51" s="70" t="inlineStr">
        <is>
          <t>E-WS8.4</t>
        </is>
      </c>
      <c r="D51" s="70" t="inlineStr">
        <is>
          <t>Delegation and Grants</t>
        </is>
      </c>
      <c r="E51" s="70" t="inlineStr">
        <is>
          <t>Delegate redemption permission configured per permission matrix</t>
        </is>
      </c>
      <c r="F51" s="70" t="inlineStr">
        <is>
          <t>Primary configures whether a delegate may redeem F&amp;D Bucks or free samples / delivery. Loyalty engine and PRO app enforce per account-contact relationship.</t>
        </is>
      </c>
      <c r="G51" s="70" t="inlineStr">
        <is>
          <t>CRM-AS-19, CRM Permission Matrix, CRM-DF-12, M-GC-5</t>
        </is>
      </c>
      <c r="H51" s="70" t="inlineStr">
        <is>
          <t>AC: [Author TBD] Write Given/When/Then for happy path + edge cases.
    - Happy path: …
    - Edge case 1: …
    - Edge case 2: …
Definition of Ready: at least 2 ACs written and 0 unresolved Decision Log items.</t>
        </is>
      </c>
      <c r="I51" s="70" t="n"/>
      <c r="J51" s="70" t="inlineStr">
        <is>
          <t>Beta</t>
        </is>
      </c>
      <c r="K51" s="70" t="inlineStr">
        <is>
          <t>Grant</t>
        </is>
      </c>
      <c r="L51" s="70" t="inlineStr">
        <is>
          <t>No</t>
        </is>
      </c>
      <c r="M51" s="70" t="n"/>
      <c r="N51" s="70" t="inlineStr">
        <is>
          <t>Not Started</t>
        </is>
      </c>
      <c r="O51" s="70" t="n"/>
    </row>
    <row r="52">
      <c r="A52" s="70" t="n">
        <v>159</v>
      </c>
      <c r="B52" s="70" t="inlineStr">
        <is>
          <t>WS17 — WS 17: Security &amp; Identity</t>
        </is>
      </c>
      <c r="C52" s="70" t="inlineStr">
        <is>
          <t>E-WS17.2</t>
        </is>
      </c>
      <c r="D52" s="70" t="inlineStr">
        <is>
          <t>Delegation and Grants</t>
        </is>
      </c>
      <c r="E52" s="70" t="inlineStr">
        <is>
          <t>Delegate attempts redemption without permission — blocked</t>
        </is>
      </c>
      <c r="F52" s="70" t="inlineStr">
        <is>
          <t>Delegate without redemption permission attempts F&amp;D Bucks or sample / delivery redemption. POS / app validates and blocks the action with clear messaging.</t>
        </is>
      </c>
      <c r="G52" s="70" t="inlineStr">
        <is>
          <t>CRM Permission Matrix, CRM-DF-12</t>
        </is>
      </c>
      <c r="H52" s="70" t="inlineStr">
        <is>
          <t>AC: [Author TBD] Write Given/When/Then for happy path + edge cases.
    - Happy path: …
    - Edge case 1: …
    - Edge case 2: …
Definition of Ready: at least 2 ACs written and 0 unresolved Decision Log items.</t>
        </is>
      </c>
      <c r="I52" s="70" t="n"/>
      <c r="J52" s="70" t="inlineStr">
        <is>
          <t>Beta</t>
        </is>
      </c>
      <c r="K52" s="70" t="inlineStr">
        <is>
          <t>Grant</t>
        </is>
      </c>
      <c r="L52" s="70" t="inlineStr">
        <is>
          <t>Yes</t>
        </is>
      </c>
      <c r="M52" s="70" t="n"/>
      <c r="N52" s="70" t="inlineStr">
        <is>
          <t>Not Started</t>
        </is>
      </c>
      <c r="O52" s="70" t="n"/>
    </row>
    <row r="53">
      <c r="A53" s="70" t="n">
        <v>160</v>
      </c>
      <c r="B53" s="70" t="inlineStr">
        <is>
          <t>WS8 — WS 8: CRM Systems Enablement</t>
        </is>
      </c>
      <c r="C53" s="70" t="inlineStr">
        <is>
          <t>E-WS8.4</t>
        </is>
      </c>
      <c r="D53" s="70" t="inlineStr">
        <is>
          <t>Delegation and Grants</t>
        </is>
      </c>
      <c r="E53" s="70" t="inlineStr">
        <is>
          <t>Primary shares F&amp;D Bucks via controlled exposed-code mechanism</t>
        </is>
      </c>
      <c r="F53" s="70" t="inlineStr">
        <is>
          <t>Primary exposes a one-time / scoped F&amp;D Bucks code that another individual (e.g., a runner or non-delegate family member) redeems at POS. Loyalty engine tracks issuance/redemption at account level.</t>
        </is>
      </c>
      <c r="G53" s="70" t="inlineStr">
        <is>
          <t>J-GC-8</t>
        </is>
      </c>
      <c r="H53" s="70" t="inlineStr">
        <is>
          <t>AC: [Author TBD] Write Given/When/Then for happy path + edge cases.
    - Happy path: …
    - Edge case 1: …
    - Edge case 2: …
Definition of Ready: at least 2 ACs written and 0 unresolved Decision Log items.</t>
        </is>
      </c>
      <c r="I53" s="70" t="inlineStr">
        <is>
          <t>Distinct from standard delegate grant.</t>
        </is>
      </c>
      <c r="J53" s="70" t="inlineStr">
        <is>
          <t>Full Launch</t>
        </is>
      </c>
      <c r="K53" s="70" t="inlineStr">
        <is>
          <t>Grant</t>
        </is>
      </c>
      <c r="L53" s="70" t="inlineStr">
        <is>
          <t>Yes</t>
        </is>
      </c>
      <c r="M53" s="70" t="n"/>
      <c r="N53" s="70" t="inlineStr">
        <is>
          <t>Not Started</t>
        </is>
      </c>
      <c r="O53" s="70" t="n"/>
    </row>
    <row r="54">
      <c r="A54" s="70" t="n">
        <v>161</v>
      </c>
      <c r="B54" s="70" t="inlineStr">
        <is>
          <t>WS17 — WS 17: Security &amp; Identity</t>
        </is>
      </c>
      <c r="C54" s="70" t="inlineStr">
        <is>
          <t>E-WS17.2</t>
        </is>
      </c>
      <c r="D54" s="70" t="inlineStr">
        <is>
          <t>Delegation and Grants</t>
        </is>
      </c>
      <c r="E54" s="70" t="inlineStr">
        <is>
          <t>PII restricted to primary; delegates limited to own transaction view</t>
        </is>
      </c>
      <c r="F54" s="70" t="inlineStr">
        <is>
          <t>PRO app and CRM enforce that only the primary can view / change PII. Delegates see only transactions they participated in unless explicitly granted additional view permissions.</t>
        </is>
      </c>
      <c r="G54" s="70" t="inlineStr">
        <is>
          <t>CRM Permission Matrix, CRM-AS-17</t>
        </is>
      </c>
      <c r="H54" s="70" t="inlineStr">
        <is>
          <t>AC: [Author TBD] Write Given/When/Then for happy path + edge cases.
    - Happy path: …
    - Edge case 1: …
    - Edge case 2: …
Definition of Ready: at least 2 ACs written and 0 unresolved Decision Log items.</t>
        </is>
      </c>
      <c r="I54" s="70" t="n"/>
      <c r="J54" s="70" t="inlineStr">
        <is>
          <t>Beta</t>
        </is>
      </c>
      <c r="K54" s="70" t="inlineStr">
        <is>
          <t>Relationship</t>
        </is>
      </c>
      <c r="L54" s="70" t="inlineStr">
        <is>
          <t>No</t>
        </is>
      </c>
      <c r="M54" s="70" t="n"/>
      <c r="N54" s="70" t="inlineStr">
        <is>
          <t>Not Started</t>
        </is>
      </c>
      <c r="O54" s="70" t="n"/>
    </row>
    <row r="55">
      <c r="A55" s="70" t="n">
        <v>162</v>
      </c>
      <c r="B55" s="70" t="inlineStr">
        <is>
          <t>WS17 — WS 17: Security &amp; Identity</t>
        </is>
      </c>
      <c r="C55" s="70" t="inlineStr">
        <is>
          <t>E-WS17.2</t>
        </is>
      </c>
      <c r="D55" s="70" t="inlineStr">
        <is>
          <t>Delegation and Grants</t>
        </is>
      </c>
      <c r="E55" s="70" t="inlineStr">
        <is>
          <t>Configure delegate permission set is primary-only</t>
        </is>
      </c>
      <c r="F55" s="70" t="inlineStr">
        <is>
          <t>Only the primary can configure delegate permission levels. Delegates cannot grant permissions to other delegates.</t>
        </is>
      </c>
      <c r="G55" s="70" t="inlineStr">
        <is>
          <t>CRM Permission Matrix</t>
        </is>
      </c>
      <c r="H55" s="70" t="inlineStr">
        <is>
          <t>AC: [Author TBD] Write Given/When/Then for happy path + edge cases.
    - Happy path: …
    - Edge case 1: …
    - Edge case 2: …
Definition of Ready: at least 2 ACs written and 0 unresolved Decision Log items.</t>
        </is>
      </c>
      <c r="I55" s="70" t="n"/>
      <c r="J55" s="70" t="inlineStr">
        <is>
          <t>Beta</t>
        </is>
      </c>
      <c r="K55" s="70" t="inlineStr">
        <is>
          <t>Relationship</t>
        </is>
      </c>
      <c r="L55" s="70" t="inlineStr">
        <is>
          <t>No</t>
        </is>
      </c>
      <c r="M55" s="70" t="n"/>
      <c r="N55" s="70" t="inlineStr">
        <is>
          <t>Not Started</t>
        </is>
      </c>
      <c r="O55" s="70" t="n"/>
    </row>
    <row r="56">
      <c r="A56" s="70" t="n">
        <v>163</v>
      </c>
      <c r="B56" s="70" t="inlineStr">
        <is>
          <t>WS12 — WS 12: POS / Store Workflows (Veras)</t>
        </is>
      </c>
      <c r="C56" s="70" t="inlineStr">
        <is>
          <t>E-WS12.5</t>
        </is>
      </c>
      <c r="D56" s="70" t="inlineStr">
        <is>
          <t>POS and Checkout</t>
        </is>
      </c>
      <c r="E56" s="70" t="inlineStr">
        <is>
          <t>Confirm2Pay transaction auto-attributes to PRO account</t>
        </is>
      </c>
      <c r="F56" s="70" t="inlineStr">
        <is>
          <t>A Confirm2Pay-paid transaction is linked automatically to the associated PRO account via customer-on-file mapping. A separate QR scan is not required for attribution.</t>
        </is>
      </c>
      <c r="G56" s="70" t="inlineStr">
        <is>
          <t>MC-TRN-8</t>
        </is>
      </c>
      <c r="H56" s="70" t="inlineStr">
        <is>
          <t>AC: [Author TBD] Write Given/When/Then for happy path + edge cases.
    - Happy path: …
    - Edge case 1: …
    - Edge case 2: …
Definition of Ready: at least 2 ACs written and 0 unresolved Decision Log items.</t>
        </is>
      </c>
      <c r="I56" s="70" t="n"/>
      <c r="J56" s="70" t="inlineStr">
        <is>
          <t>Beta</t>
        </is>
      </c>
      <c r="K56" s="70" t="inlineStr">
        <is>
          <t>System</t>
        </is>
      </c>
      <c r="L56" s="70" t="inlineStr">
        <is>
          <t>Yes</t>
        </is>
      </c>
      <c r="M56" s="70" t="n"/>
      <c r="N56" s="70" t="inlineStr">
        <is>
          <t>Not Started</t>
        </is>
      </c>
      <c r="O56" s="70" t="n"/>
    </row>
    <row r="57">
      <c r="A57" s="70" t="n">
        <v>164</v>
      </c>
      <c r="B57" s="70" t="inlineStr">
        <is>
          <t>WS12 — WS 12: POS / Store Workflows (Veras)</t>
        </is>
      </c>
      <c r="C57" s="70" t="inlineStr">
        <is>
          <t>E-WS12.4</t>
        </is>
      </c>
      <c r="D57" s="70" t="inlineStr">
        <is>
          <t>POS and Checkout</t>
        </is>
      </c>
      <c r="E57" s="70" t="inlineStr">
        <is>
          <t>Associate manual bulk pricing override — blocked at store</t>
        </is>
      </c>
      <c r="F57" s="70" t="inlineStr">
        <is>
          <t>Associate attempts to adjust unit price below the configured bulk threshold. POS blocks the change and surfaces the escalation path; discretionary markdowns use a different MD code.</t>
        </is>
      </c>
      <c r="G57" s="70" t="inlineStr">
        <is>
          <t>PR-BP-9</t>
        </is>
      </c>
      <c r="H57" s="70" t="inlineStr">
        <is>
          <t>AC-1: GIVEN a SKU qualifies for bulk pricing at qty ≥10
       WHEN associate tries to manually reduce unit price below bulk price
       THEN POS blocks the change and surfaces escalation path
AC-2: GIVEN an authorised manager invokes the discretionary markdown
       WHEN markdown is recorded
       THEN a different MD code is used (per PR-BP-9)</t>
        </is>
      </c>
      <c r="I57" s="70" t="n"/>
      <c r="J57" s="70" t="inlineStr">
        <is>
          <t>Beta</t>
        </is>
      </c>
      <c r="K57" s="70" t="inlineStr">
        <is>
          <t>System</t>
        </is>
      </c>
      <c r="L57" s="70" t="inlineStr">
        <is>
          <t>Yes</t>
        </is>
      </c>
      <c r="M57" s="70" t="n"/>
      <c r="N57" s="70" t="inlineStr">
        <is>
          <t>Not Started</t>
        </is>
      </c>
      <c r="O57" s="70" t="n"/>
    </row>
    <row r="58">
      <c r="A58" s="70" t="n">
        <v>165</v>
      </c>
      <c r="B58" s="70" t="inlineStr">
        <is>
          <t>WS12 — WS 12: POS / Store Workflows (Veras)</t>
        </is>
      </c>
      <c r="C58" s="70" t="inlineStr">
        <is>
          <t>E-WS12.4</t>
        </is>
      </c>
      <c r="D58" s="70" t="inlineStr">
        <is>
          <t>POS and Checkout</t>
        </is>
      </c>
      <c r="E58" s="70" t="inlineStr">
        <is>
          <t>Bulk pricing does not stack with promotions — best-discount logic; bulk lines remain rebate-eligible</t>
        </is>
      </c>
      <c r="F58" s="70" t="inlineStr">
        <is>
          <t>When a SKU qualifies for both bulk pricing and a promotion, POS applies the better of the two but does not combine. Bulk-priced lines remain eligible for loyalty rebate accrual.</t>
        </is>
      </c>
      <c r="G58" s="70" t="inlineStr">
        <is>
          <t>PR-BP-8</t>
        </is>
      </c>
      <c r="H58" s="70" t="inlineStr">
        <is>
          <t>AC: [Author TBD] Write Given/When/Then for happy path + edge cases.
    - Happy path: …
    - Edge case 1: …
    - Edge case 2: …
Definition of Ready: at least 2 ACs written and 0 unresolved Decision Log items.</t>
        </is>
      </c>
      <c r="I58" s="70" t="n"/>
      <c r="J58" s="70" t="inlineStr">
        <is>
          <t>Beta</t>
        </is>
      </c>
      <c r="K58" s="70" t="inlineStr">
        <is>
          <t>System</t>
        </is>
      </c>
      <c r="L58" s="70" t="inlineStr">
        <is>
          <t>Yes</t>
        </is>
      </c>
      <c r="M58" s="70" t="n"/>
      <c r="N58" s="70" t="inlineStr">
        <is>
          <t>Not Started</t>
        </is>
      </c>
      <c r="O58" s="70" t="n"/>
    </row>
    <row r="59">
      <c r="A59" s="70" t="n">
        <v>166</v>
      </c>
      <c r="B59" s="70" t="inlineStr">
        <is>
          <t>WS12 — WS 12: POS / Store Workflows (Veras)</t>
        </is>
      </c>
      <c r="C59" s="70" t="inlineStr">
        <is>
          <t>E-WS12.2</t>
        </is>
      </c>
      <c r="D59" s="70" t="inlineStr">
        <is>
          <t>POS and Checkout</t>
        </is>
      </c>
      <c r="E59" s="70" t="inlineStr">
        <is>
          <t>POS displays simplified PRO status panel during every transaction</t>
        </is>
      </c>
      <c r="F59" s="70" t="inlineStr">
        <is>
          <t>POS surfaces a real-time view of account name, tier, primary/delegate role, benefit eligibility flags, usage counters, progress to next tier, YTD spend, PYTD spend.</t>
        </is>
      </c>
      <c r="G59" s="70" t="inlineStr">
        <is>
          <t>SO-AI-3</t>
        </is>
      </c>
      <c r="H59" s="70" t="inlineStr">
        <is>
          <t>AC: [Author TBD] Write Given/When/Then for happy path + edge cases.
    - Happy path: …
    - Edge case 1: …
    - Edge case 2: …
Definition of Ready: at least 2 ACs written and 0 unresolved Decision Log items.</t>
        </is>
      </c>
      <c r="I59" s="70" t="n"/>
      <c r="J59" s="70" t="inlineStr">
        <is>
          <t>Beta</t>
        </is>
      </c>
      <c r="K59" s="70" t="inlineStr">
        <is>
          <t>System</t>
        </is>
      </c>
      <c r="L59" s="70" t="inlineStr">
        <is>
          <t>Yes</t>
        </is>
      </c>
      <c r="M59" s="70" t="n"/>
      <c r="N59" s="70" t="inlineStr">
        <is>
          <t>Not Started</t>
        </is>
      </c>
      <c r="O59" s="70" t="n"/>
    </row>
    <row r="60">
      <c r="A60" s="70" t="n">
        <v>167</v>
      </c>
      <c r="B60" s="70" t="inlineStr">
        <is>
          <t>WS12 — WS 12: POS / Store Workflows (Veras)</t>
        </is>
      </c>
      <c r="C60" s="70" t="inlineStr">
        <is>
          <t>E-WS12.2</t>
        </is>
      </c>
      <c r="D60" s="70" t="inlineStr">
        <is>
          <t>POS and Checkout</t>
        </is>
      </c>
      <c r="E60" s="70" t="inlineStr">
        <is>
          <t>PRO desk extended Salesforce lookup for account details</t>
        </is>
      </c>
      <c r="F60" s="70" t="inlineStr">
        <is>
          <t>At PRO desk, associate looks up extended account info: PRO type, missing-data flags, current tier, reward type chosen, gift card balance, rebate-to-date, benefit eligibility / usage, customer-since date.</t>
        </is>
      </c>
      <c r="G60" s="70" t="inlineStr">
        <is>
          <t>SO-AI-4, M-GC-1, M-CR-1</t>
        </is>
      </c>
      <c r="H60" s="70" t="inlineStr">
        <is>
          <t>AC: [Author TBD] Write Given/When/Then for happy path + edge cases.
    - Happy path: …
    - Edge case 1: …
    - Edge case 2: …
Definition of Ready: at least 2 ACs written and 0 unresolved Decision Log items.</t>
        </is>
      </c>
      <c r="I60" s="70" t="inlineStr">
        <is>
          <t>Pending IT feasibility for surface at POS register.</t>
        </is>
      </c>
      <c r="J60" s="70" t="inlineStr">
        <is>
          <t>Beta</t>
        </is>
      </c>
      <c r="K60" s="70" t="inlineStr">
        <is>
          <t>System</t>
        </is>
      </c>
      <c r="L60" s="70" t="inlineStr">
        <is>
          <t>No</t>
        </is>
      </c>
      <c r="M60" s="70" t="n"/>
      <c r="N60" s="70" t="inlineStr">
        <is>
          <t>Not Started</t>
        </is>
      </c>
      <c r="O60" s="70" t="n"/>
    </row>
    <row r="61">
      <c r="A61" s="70" t="n">
        <v>168</v>
      </c>
      <c r="B61" s="70" t="inlineStr">
        <is>
          <t>WS12 — WS 12: POS / Store Workflows (Veras)</t>
        </is>
      </c>
      <c r="C61" s="70" t="inlineStr">
        <is>
          <t>E-WS12.1</t>
        </is>
      </c>
      <c r="D61" s="70" t="inlineStr">
        <is>
          <t>POS and Checkout</t>
        </is>
      </c>
      <c r="E61" s="70" t="inlineStr">
        <is>
          <t>No account found at POS — sale proceeds unattributed; flagged for retro attribution</t>
        </is>
      </c>
      <c r="F61" s="70" t="inlineStr">
        <is>
          <t>When PRO account cannot be located via available lookup methods (QR, account ID, email, phone), sale proceeds without attribution. Transaction is flagged in CRM/POS as retro-attributable within the defined window.</t>
        </is>
      </c>
      <c r="G61" s="70" t="inlineStr">
        <is>
          <t>SO-AI-2, E-OA-6</t>
        </is>
      </c>
      <c r="H61" s="70" t="inlineStr">
        <is>
          <t>AC: [Author TBD] Write Given/When/Then for happy path + edge cases.
    - Happy path: …
    - Edge case 1: …
    - Edge case 2: …
Definition of Ready: at least 2 ACs written and 0 unresolved Decision Log items.</t>
        </is>
      </c>
      <c r="I61" s="70" t="inlineStr">
        <is>
          <t>Retro window length TBD.</t>
        </is>
      </c>
      <c r="J61" s="70" t="inlineStr">
        <is>
          <t>Beta</t>
        </is>
      </c>
      <c r="K61" s="70" t="inlineStr">
        <is>
          <t>System</t>
        </is>
      </c>
      <c r="L61" s="70" t="inlineStr">
        <is>
          <t>Yes</t>
        </is>
      </c>
      <c r="M61" s="70" t="n"/>
      <c r="N61" s="70" t="inlineStr">
        <is>
          <t>Not Started</t>
        </is>
      </c>
      <c r="O61" s="70" t="n"/>
    </row>
    <row r="62">
      <c r="A62" s="70" t="n">
        <v>169</v>
      </c>
      <c r="B62" s="70" t="inlineStr">
        <is>
          <t>WS12 — WS 12: POS / Store Workflows (Veras)</t>
        </is>
      </c>
      <c r="C62" s="70" t="inlineStr">
        <is>
          <t>E-WS12.4</t>
        </is>
      </c>
      <c r="D62" s="70" t="inlineStr">
        <is>
          <t>POS and Checkout</t>
        </is>
      </c>
      <c r="E62" s="70" t="inlineStr">
        <is>
          <t>Cart hits $5K threshold — bid room eligibility flag surfaced to associate / PRO</t>
        </is>
      </c>
      <c r="F62" s="70" t="inlineStr">
        <is>
          <t>POS / cart view flags eligibility when project value exceeds $5K, prompting bid room engagement via existing manual workflow (email / phone).</t>
        </is>
      </c>
      <c r="G62" s="70" t="inlineStr">
        <is>
          <t>PR-BR-2</t>
        </is>
      </c>
      <c r="H62" s="70" t="inlineStr">
        <is>
          <t>AC: [Author TBD] Write Given/When/Then for happy path + edge cases.
    - Happy path: …
    - Edge case 1: …
    - Edge case 2: …
Definition of Ready: at least 2 ACs written and 0 unresolved Decision Log items.</t>
        </is>
      </c>
      <c r="I62" s="70" t="inlineStr">
        <is>
          <t>Bid room remains manual at launch.</t>
        </is>
      </c>
      <c r="J62" s="70" t="inlineStr">
        <is>
          <t>Beta</t>
        </is>
      </c>
      <c r="K62" s="70" t="inlineStr">
        <is>
          <t>System</t>
        </is>
      </c>
      <c r="L62" s="70" t="inlineStr">
        <is>
          <t>No</t>
        </is>
      </c>
      <c r="M62" s="70" t="n"/>
      <c r="N62" s="70" t="inlineStr">
        <is>
          <t>Not Started</t>
        </is>
      </c>
      <c r="O62" s="70" t="n"/>
    </row>
    <row r="63">
      <c r="A63" s="70" t="n">
        <v>170</v>
      </c>
      <c r="B63" s="70" t="inlineStr">
        <is>
          <t>WS12 — WS 12: POS / Store Workflows (Veras)</t>
        </is>
      </c>
      <c r="C63" s="70" t="inlineStr">
        <is>
          <t>E-WS12.1</t>
        </is>
      </c>
      <c r="D63" s="70" t="inlineStr">
        <is>
          <t>POS and Checkout</t>
        </is>
      </c>
      <c r="E63" s="70" t="inlineStr">
        <is>
          <t>POS lookup retry across alternate methods when initial lookup fails</t>
        </is>
      </c>
      <c r="F63" s="70" t="inlineStr">
        <is>
          <t>If QR / phone / email / account ID lookup fails, POS supports retry via alternate identifiers; if all fail, sale proceeds unattributed.</t>
        </is>
      </c>
      <c r="G63" s="70" t="inlineStr">
        <is>
          <t>SO-AI-1, SO-AI-2</t>
        </is>
      </c>
      <c r="H63" s="70" t="inlineStr">
        <is>
          <t>AC: [Author TBD] Write Given/When/Then for happy path + edge cases.
    - Happy path: …
    - Edge case 1: …
    - Edge case 2: …
Definition of Ready: at least 2 ACs written and 0 unresolved Decision Log items.</t>
        </is>
      </c>
      <c r="I63" s="70" t="n"/>
      <c r="J63" s="70" t="inlineStr">
        <is>
          <t>Beta</t>
        </is>
      </c>
      <c r="K63" s="70" t="inlineStr">
        <is>
          <t>System</t>
        </is>
      </c>
      <c r="L63" s="70" t="inlineStr">
        <is>
          <t>Yes</t>
        </is>
      </c>
      <c r="M63" s="70" t="n"/>
      <c r="N63" s="70" t="inlineStr">
        <is>
          <t>Not Started</t>
        </is>
      </c>
      <c r="O63" s="70" t="n"/>
    </row>
    <row r="64">
      <c r="A64" s="70" t="n">
        <v>171</v>
      </c>
      <c r="B64" s="70" t="inlineStr">
        <is>
          <t>WS12 — WS 12: POS / Store Workflows (Veras)</t>
        </is>
      </c>
      <c r="C64" s="70" t="inlineStr">
        <is>
          <t>E-WS12.1</t>
        </is>
      </c>
      <c r="D64" s="70" t="inlineStr">
        <is>
          <t>POS and Checkout</t>
        </is>
      </c>
      <c r="E64" s="70" t="inlineStr">
        <is>
          <t>Phone number lookup with multiple matches — associate disambiguates by user vs. business</t>
        </is>
      </c>
      <c r="F64" s="70" t="inlineStr">
        <is>
          <t>When a phone number maps to multiple accounts (as primary or delegate on more than one), POS shows account choices and associate selects the correct earning account with PRO.</t>
        </is>
      </c>
      <c r="G64" s="70" t="inlineStr">
        <is>
          <t>SO-AI-1, E-OA-5, CRM-AS-10</t>
        </is>
      </c>
      <c r="H64" s="70" t="inlineStr">
        <is>
          <t>AC: [Author TBD] Write Given/When/Then for happy path + edge cases.
    - Happy path: …
    - Edge case 1: …
    - Edge case 2: …
Definition of Ready: at least 2 ACs written and 0 unresolved Decision Log items.</t>
        </is>
      </c>
      <c r="I64" s="70" t="n"/>
      <c r="J64" s="70" t="inlineStr">
        <is>
          <t>Beta</t>
        </is>
      </c>
      <c r="K64" s="70" t="inlineStr">
        <is>
          <t>System</t>
        </is>
      </c>
      <c r="L64" s="70" t="inlineStr">
        <is>
          <t>Yes</t>
        </is>
      </c>
      <c r="M64" s="70" t="n"/>
      <c r="N64" s="70" t="inlineStr">
        <is>
          <t>Not Started</t>
        </is>
      </c>
      <c r="O64" s="70" t="n"/>
    </row>
    <row r="65">
      <c r="A65" s="70" t="n">
        <v>172</v>
      </c>
      <c r="B65" s="70" t="inlineStr">
        <is>
          <t>WS13 — WS 13: Marketing &amp; Communications</t>
        </is>
      </c>
      <c r="C65" s="70" t="inlineStr">
        <is>
          <t>E-WS13.1</t>
        </is>
      </c>
      <c r="D65" s="70" t="inlineStr">
        <is>
          <t>Notifications</t>
        </is>
      </c>
      <c r="E65" s="70" t="inlineStr">
        <is>
          <t>Account inactivity triggers re-engagement comms</t>
        </is>
      </c>
      <c r="F65" s="70" t="inlineStr">
        <is>
          <t>When a PRO has no qualifying transaction for a defined inactivity window, marketing system fires a re-engagement email / push / SMS based on consent.</t>
        </is>
      </c>
      <c r="G65" s="70" t="inlineStr">
        <is>
          <t>MC-TRN-2, MC-TRN-3</t>
        </is>
      </c>
      <c r="H65" s="70" t="inlineStr">
        <is>
          <t>AC: [Author TBD] Write Given/When/Then for happy path + edge cases.
    - Happy path: …
    - Edge case 1: …
    - Edge case 2: …
Definition of Ready: at least 2 ACs written and 0 unresolved Decision Log items.</t>
        </is>
      </c>
      <c r="I65" s="70" t="inlineStr">
        <is>
          <t>Inactivity window TBD.</t>
        </is>
      </c>
      <c r="J65" s="70" t="inlineStr">
        <is>
          <t>Full Launch</t>
        </is>
      </c>
      <c r="K65" s="70" t="inlineStr">
        <is>
          <t>System</t>
        </is>
      </c>
      <c r="L65" s="70" t="inlineStr">
        <is>
          <t>No</t>
        </is>
      </c>
      <c r="M65" s="70" t="n"/>
      <c r="N65" s="70" t="inlineStr">
        <is>
          <t>Not Started</t>
        </is>
      </c>
      <c r="O65" s="70" t="n"/>
    </row>
    <row r="66">
      <c r="A66" s="70" t="n">
        <v>173</v>
      </c>
      <c r="B66" s="70" t="inlineStr">
        <is>
          <t>WS13 — WS 13: Marketing &amp; Communications</t>
        </is>
      </c>
      <c r="C66" s="70" t="inlineStr">
        <is>
          <t>E-WS13.1</t>
        </is>
      </c>
      <c r="D66" s="70" t="inlineStr">
        <is>
          <t>Notifications</t>
        </is>
      </c>
      <c r="E66" s="70" t="inlineStr">
        <is>
          <t>Tier demotion comms delivered upon downgrade</t>
        </is>
      </c>
      <c r="F66" s="70" t="inlineStr">
        <is>
          <t>Upon downgrade from a higher tier to a lower tier at calendar year start, marketing system fires demotion communication and explains path back.</t>
        </is>
      </c>
      <c r="G66" s="70" t="inlineStr">
        <is>
          <t>MC-TRN-2, MC-TRN-3</t>
        </is>
      </c>
      <c r="H66" s="70" t="inlineStr">
        <is>
          <t>AC: [Author TBD] Write Given/When/Then for happy path + edge cases.
    - Happy path: …
    - Edge case 1: …
    - Edge case 2: …
Definition of Ready: at least 2 ACs written and 0 unresolved Decision Log items.</t>
        </is>
      </c>
      <c r="I66" s="70" t="n"/>
      <c r="J66" s="70" t="inlineStr">
        <is>
          <t>Full Launch</t>
        </is>
      </c>
      <c r="K66" s="70" t="inlineStr">
        <is>
          <t>System</t>
        </is>
      </c>
      <c r="L66" s="70" t="inlineStr">
        <is>
          <t>No</t>
        </is>
      </c>
      <c r="M66" s="70" t="n"/>
      <c r="N66" s="70" t="inlineStr">
        <is>
          <t>Not Started</t>
        </is>
      </c>
      <c r="O66" s="70" t="n"/>
    </row>
    <row r="67">
      <c r="A67" s="70" t="n">
        <v>174</v>
      </c>
      <c r="B67" s="70" t="inlineStr">
        <is>
          <t>WS13 — WS 13: Marketing &amp; Communications</t>
        </is>
      </c>
      <c r="C67" s="70" t="inlineStr">
        <is>
          <t>E-WS13.1</t>
        </is>
      </c>
      <c r="D67" s="70" t="inlineStr">
        <is>
          <t>Notifications</t>
        </is>
      </c>
      <c r="E67" s="70" t="inlineStr">
        <is>
          <t>Delivery order lifecycle comms (scheduled, en route, delivered)</t>
        </is>
      </c>
      <c r="F67" s="70" t="inlineStr">
        <is>
          <t>Ops / marketing system fires status updates to PRO for delivery scheduled, dispatched, and completed events.</t>
        </is>
      </c>
      <c r="G67" s="70" t="inlineStr">
        <is>
          <t>MC-TRN-2, MC-TRN-3</t>
        </is>
      </c>
      <c r="H67" s="70" t="inlineStr">
        <is>
          <t>AC: [Author TBD] Write Given/When/Then for happy path + edge cases.
    - Happy path: …
    - Edge case 1: …
    - Edge case 2: …
Definition of Ready: at least 2 ACs written and 0 unresolved Decision Log items.</t>
        </is>
      </c>
      <c r="I67" s="70" t="n"/>
      <c r="J67" s="70" t="inlineStr">
        <is>
          <t>Full Launch</t>
        </is>
      </c>
      <c r="K67" s="70" t="inlineStr">
        <is>
          <t>System</t>
        </is>
      </c>
      <c r="L67" s="70" t="inlineStr">
        <is>
          <t>No</t>
        </is>
      </c>
      <c r="M67" s="70" t="n"/>
      <c r="N67" s="70" t="inlineStr">
        <is>
          <t>Not Started</t>
        </is>
      </c>
      <c r="O67" s="70" t="n"/>
    </row>
    <row r="68">
      <c r="A68" s="70" t="n">
        <v>175</v>
      </c>
      <c r="B68" s="70" t="inlineStr">
        <is>
          <t>WS13 — WS 13: Marketing &amp; Communications</t>
        </is>
      </c>
      <c r="C68" s="70" t="inlineStr">
        <is>
          <t>E-WS13.1</t>
        </is>
      </c>
      <c r="D68" s="70" t="inlineStr">
        <is>
          <t>Notifications</t>
        </is>
      </c>
      <c r="E68" s="70" t="inlineStr">
        <is>
          <t>Account info update comms (delegate added/removed, primary changed)</t>
        </is>
      </c>
      <c r="F68" s="70" t="inlineStr">
        <is>
          <t>Marketing / CRM system fires a confirmation message when account-level changes occur (delegate add/remove, primary change, payment info update).</t>
        </is>
      </c>
      <c r="G68" s="70" t="inlineStr">
        <is>
          <t>MC-TRN-2, MC-TRN-3</t>
        </is>
      </c>
      <c r="H68" s="70" t="inlineStr">
        <is>
          <t>AC: [Author TBD] Write Given/When/Then for happy path + edge cases.
    - Happy path: …
    - Edge case 1: …
    - Edge case 2: …
Definition of Ready: at least 2 ACs written and 0 unresolved Decision Log items.</t>
        </is>
      </c>
      <c r="I68" s="70" t="n"/>
      <c r="J68" s="70" t="inlineStr">
        <is>
          <t>Full Launch</t>
        </is>
      </c>
      <c r="K68" s="70" t="inlineStr">
        <is>
          <t>System</t>
        </is>
      </c>
      <c r="L68" s="70" t="inlineStr">
        <is>
          <t>No</t>
        </is>
      </c>
      <c r="M68" s="70" t="n"/>
      <c r="N68" s="70" t="inlineStr">
        <is>
          <t>Not Started</t>
        </is>
      </c>
      <c r="O68" s="70" t="n"/>
    </row>
    <row r="69">
      <c r="A69" s="70" t="n">
        <v>176</v>
      </c>
      <c r="B69" s="70" t="inlineStr">
        <is>
          <t>WS13 — WS 13: Marketing &amp; Communications</t>
        </is>
      </c>
      <c r="C69" s="70" t="inlineStr">
        <is>
          <t>E-WS13.2</t>
        </is>
      </c>
      <c r="D69" s="70" t="inlineStr">
        <is>
          <t>Notifications</t>
        </is>
      </c>
      <c r="E69" s="70" t="inlineStr">
        <is>
          <t>SMS opt-in / opt-out captured at user level with timestamp</t>
        </is>
      </c>
      <c r="F69" s="70" t="inlineStr">
        <is>
          <t>PRO app or comms touchpoint records explicit SMS consent state (opt-in, opt-out) with timestamp. Status stored in CRM at user level and made available to campaign systems and 3rd-party SMS provider.</t>
        </is>
      </c>
      <c r="G69" s="70" t="inlineStr">
        <is>
          <t>MC-TMI-1</t>
        </is>
      </c>
      <c r="H69" s="70" t="inlineStr">
        <is>
          <t>AC: [Author TBD] Write Given/When/Then for happy path + edge cases.
    - Happy path: …
    - Edge case 1: …
    - Edge case 2: …
Definition of Ready: at least 2 ACs written and 0 unresolved Decision Log items.</t>
        </is>
      </c>
      <c r="I69" s="70" t="n"/>
      <c r="J69" s="70" t="inlineStr">
        <is>
          <t>Beta</t>
        </is>
      </c>
      <c r="K69" s="70" t="inlineStr">
        <is>
          <t>Relationship</t>
        </is>
      </c>
      <c r="L69" s="70" t="inlineStr">
        <is>
          <t>No</t>
        </is>
      </c>
      <c r="M69" s="70" t="n"/>
      <c r="N69" s="70" t="inlineStr">
        <is>
          <t>Not Started</t>
        </is>
      </c>
      <c r="O69" s="70" t="n"/>
    </row>
    <row r="70">
      <c r="A70" s="70" t="n">
        <v>177</v>
      </c>
      <c r="B70" s="70" t="inlineStr">
        <is>
          <t>WS13 — WS 13: Marketing &amp; Communications</t>
        </is>
      </c>
      <c r="C70" s="70" t="inlineStr">
        <is>
          <t>E-WS13.2</t>
        </is>
      </c>
      <c r="D70" s="70" t="inlineStr">
        <is>
          <t>Notifications</t>
        </is>
      </c>
      <c r="E70" s="70" t="inlineStr">
        <is>
          <t>SMS opt-out propagates across all marketing systems; transactional comms retained</t>
        </is>
      </c>
      <c r="F70" s="70" t="inlineStr">
        <is>
          <t>When a PRO opts out of marketing SMS, CRM updates consent status; downstream systems suppress marketing SMS while continuing transactional / service comms.</t>
        </is>
      </c>
      <c r="G70" s="70" t="inlineStr">
        <is>
          <t>MC-TMI-1</t>
        </is>
      </c>
      <c r="H70" s="70" t="inlineStr">
        <is>
          <t>AC: [Author TBD] Write Given/When/Then for happy path + edge cases.
    - Happy path: …
    - Edge case 1: …
    - Edge case 2: …
Definition of Ready: at least 2 ACs written and 0 unresolved Decision Log items.</t>
        </is>
      </c>
      <c r="I70" s="70" t="n"/>
      <c r="J70" s="70" t="inlineStr">
        <is>
          <t>Beta</t>
        </is>
      </c>
      <c r="K70" s="70" t="inlineStr">
        <is>
          <t>System</t>
        </is>
      </c>
      <c r="L70" s="70" t="inlineStr">
        <is>
          <t>No</t>
        </is>
      </c>
      <c r="M70" s="70" t="n"/>
      <c r="N70" s="70" t="inlineStr">
        <is>
          <t>Not Started</t>
        </is>
      </c>
      <c r="O70" s="70" t="n"/>
    </row>
    <row r="71">
      <c r="A71" s="70" t="n">
        <v>178</v>
      </c>
      <c r="B71" s="70" t="inlineStr">
        <is>
          <t>WS13 — WS 13: Marketing &amp; Communications</t>
        </is>
      </c>
      <c r="C71" s="70" t="inlineStr">
        <is>
          <t>E-WS13.3</t>
        </is>
      </c>
      <c r="D71" s="70" t="inlineStr">
        <is>
          <t>Notifications</t>
        </is>
      </c>
      <c r="E71" s="70" t="inlineStr">
        <is>
          <t>Spanish-language comms delivered when user language preference is Spanish</t>
        </is>
      </c>
      <c r="F71" s="70" t="inlineStr">
        <is>
          <t>Lifecycle, transactional, marketing, and in-store comms are sent in Spanish when the PRO's CRM language preference is Spanish.</t>
        </is>
      </c>
      <c r="G71" s="70" t="inlineStr">
        <is>
          <t>MC-TRN-9, MC-TMI-6</t>
        </is>
      </c>
      <c r="H71" s="70" t="inlineStr">
        <is>
          <t>AC: [Author TBD] Write Given/When/Then for happy path + edge cases.
    - Happy path: …
    - Edge case 1: …
    - Edge case 2: …
Definition of Ready: at least 2 ACs written and 0 unresolved Decision Log items.</t>
        </is>
      </c>
      <c r="I71" s="70" t="inlineStr">
        <is>
          <t>Coverage applies to email, SMS, and in-store materials.</t>
        </is>
      </c>
      <c r="J71" s="70" t="inlineStr">
        <is>
          <t>Full Launch</t>
        </is>
      </c>
      <c r="K71" s="70" t="inlineStr">
        <is>
          <t>System</t>
        </is>
      </c>
      <c r="L71" s="70" t="inlineStr">
        <is>
          <t>No</t>
        </is>
      </c>
      <c r="M71" s="70" t="n"/>
      <c r="N71" s="70" t="inlineStr">
        <is>
          <t>Not Started</t>
        </is>
      </c>
      <c r="O71" s="70" t="n"/>
    </row>
    <row r="72">
      <c r="A72" s="70" t="n">
        <v>179</v>
      </c>
      <c r="B72" s="70" t="inlineStr">
        <is>
          <t>WS6 — WS 6: Analytics &amp; KPI</t>
        </is>
      </c>
      <c r="C72" s="70" t="inlineStr">
        <is>
          <t>E-WS6.4</t>
        </is>
      </c>
      <c r="D72" s="70" t="inlineStr">
        <is>
          <t>Notifications</t>
        </is>
      </c>
      <c r="E72" s="70" t="inlineStr">
        <is>
          <t>SMS campaign KPIs reported (audience, engagement, opt-out, conversion)</t>
        </is>
      </c>
      <c r="F72" s="70" t="inlineStr">
        <is>
          <t>Marketing reporting layer produces SMS-segment KPIs (audience size, PRO spend, engagement, conversion, opt-out activity) across defined segmentation dimensions.</t>
        </is>
      </c>
      <c r="G72" s="70" t="inlineStr">
        <is>
          <t>MC-TMI-4, MC-TMI-5, MC-TRN-1</t>
        </is>
      </c>
      <c r="H72" s="70" t="inlineStr">
        <is>
          <t>AC: [Author TBD] Write Given/When/Then for happy path + edge cases.
    - Happy path: …
    - Edge case 1: …
    - Edge case 2: …
Definition of Ready: at least 2 ACs written and 0 unresolved Decision Log items.</t>
        </is>
      </c>
      <c r="I72" s="70" t="n"/>
      <c r="J72" s="70" t="inlineStr">
        <is>
          <t>Full Launch</t>
        </is>
      </c>
      <c r="K72" s="70" t="inlineStr">
        <is>
          <t>System</t>
        </is>
      </c>
      <c r="L72" s="70" t="inlineStr">
        <is>
          <t>No</t>
        </is>
      </c>
      <c r="M72" s="70" t="n"/>
      <c r="N72" s="70" t="inlineStr">
        <is>
          <t>Not Started</t>
        </is>
      </c>
      <c r="O72" s="70" t="n"/>
    </row>
    <row r="73">
      <c r="A73" s="70" t="n">
        <v>180</v>
      </c>
      <c r="B73" s="70" t="inlineStr">
        <is>
          <t>WS13 — WS 13: Marketing &amp; Communications</t>
        </is>
      </c>
      <c r="C73" s="70" t="inlineStr">
        <is>
          <t>E-WS13.2</t>
        </is>
      </c>
      <c r="D73" s="70" t="inlineStr">
        <is>
          <t>Notifications</t>
        </is>
      </c>
      <c r="E73" s="70" t="inlineStr">
        <is>
          <t>SMS audience and triggers shared with third-party provider (Braze / Attentive)</t>
        </is>
      </c>
      <c r="F73" s="70" t="inlineStr">
        <is>
          <t>CRM passes audience segmentation and trigger events to the 3rd-party SMS platform for campaign execution.</t>
        </is>
      </c>
      <c r="G73" s="70" t="inlineStr">
        <is>
          <t>MC-TMI-2, MC-TMI-3</t>
        </is>
      </c>
      <c r="H73" s="70" t="inlineStr">
        <is>
          <t>AC: [Author TBD] Write Given/When/Then for happy path + edge cases.
    - Happy path: …
    - Edge case 1: …
    - Edge case 2: …
Definition of Ready: at least 2 ACs written and 0 unresolved Decision Log items.</t>
        </is>
      </c>
      <c r="I73" s="70" t="inlineStr">
        <is>
          <t>Vendor TBD (Braze vs. Attentive).</t>
        </is>
      </c>
      <c r="J73" s="70" t="inlineStr">
        <is>
          <t>Beta</t>
        </is>
      </c>
      <c r="K73" s="70" t="inlineStr">
        <is>
          <t>System</t>
        </is>
      </c>
      <c r="L73" s="70" t="inlineStr">
        <is>
          <t>No</t>
        </is>
      </c>
      <c r="M73" s="70" t="n"/>
      <c r="N73" s="70" t="inlineStr">
        <is>
          <t>Not Started</t>
        </is>
      </c>
      <c r="O73" s="70" t="n"/>
    </row>
    <row r="74">
      <c r="A74" s="70" t="n">
        <v>181</v>
      </c>
      <c r="B74" s="70" t="inlineStr">
        <is>
          <t>FD — Fraud Detection</t>
        </is>
      </c>
      <c r="C74" s="70" t="inlineStr">
        <is>
          <t>E-FD.1</t>
        </is>
      </c>
      <c r="D74" s="70" t="inlineStr">
        <is>
          <t>Operational and Admin</t>
        </is>
      </c>
      <c r="E74" s="70" t="inlineStr">
        <is>
          <t>Fraud / risk monitoring flags accounts on suspicious patterns</t>
        </is>
      </c>
      <c r="F74" s="70" t="inlineStr">
        <is>
          <t>Loyalty engine flags accounts exhibiting high return rates, repeated threshold-edge transactions, or excessive manual retro-attribution requests for internal review.</t>
        </is>
      </c>
      <c r="G74" s="70" t="inlineStr">
        <is>
          <t>M-GC-4, E-OA-6</t>
        </is>
      </c>
      <c r="H74" s="70" t="inlineStr">
        <is>
          <t>AC-1: GIVEN an account exceeds a defined return-rate threshold in a rolling window
       WHEN nightly job runs
       THEN account is flagged in review queue with the trigger reason recorded
AC-2: GIVEN an account exceeds retro-attribution requests threshold
       WHEN flagged
       THEN review queue entry is created
[Open] Thresholds — see Decision Log D-010</t>
        </is>
      </c>
      <c r="I74" s="70" t="inlineStr">
        <is>
          <t>Thresholds TBD; alert routing TBD.</t>
        </is>
      </c>
      <c r="J74" s="70" t="inlineStr">
        <is>
          <t>Full Launch</t>
        </is>
      </c>
      <c r="K74" s="70" t="inlineStr">
        <is>
          <t>System</t>
        </is>
      </c>
      <c r="L74" s="70" t="inlineStr">
        <is>
          <t>No</t>
        </is>
      </c>
      <c r="M74" s="70" t="n"/>
      <c r="N74" s="70" t="inlineStr">
        <is>
          <t>Not Started</t>
        </is>
      </c>
      <c r="O74" s="70" t="n"/>
    </row>
    <row r="75">
      <c r="A75" s="70" t="n">
        <v>182</v>
      </c>
      <c r="B75" s="70" t="inlineStr">
        <is>
          <t>WS14 — WS 14: PPR Transition &amp; Migration</t>
        </is>
      </c>
      <c r="C75" s="70" t="inlineStr">
        <is>
          <t>E-WS14.4</t>
        </is>
      </c>
      <c r="D75" s="70" t="inlineStr">
        <is>
          <t>Operational and Admin</t>
        </is>
      </c>
      <c r="E75" s="70" t="inlineStr">
        <is>
          <t>CAM-eligible accounts (&gt;$250K LTM) identified and routed to commercial team for review</t>
        </is>
      </c>
      <c r="F75" s="70" t="inlineStr">
        <is>
          <t>CRM aggregates LTM spend and flags accounts exceeding $250K. A consolidated report is produced for the commercial team to review for CAM admission.</t>
        </is>
      </c>
      <c r="G75" s="70" t="inlineStr">
        <is>
          <t>PPR-AS-9</t>
        </is>
      </c>
      <c r="H75" s="70" t="inlineStr">
        <is>
          <t>AC: [Author TBD] Write Given/When/Then for happy path + edge cases.
    - Happy path: …
    - Edge case 1: …
    - Edge case 2: …
Definition of Ready: at least 2 ACs written and 0 unresolved Decision Log items.</t>
        </is>
      </c>
      <c r="I75" s="70" t="n"/>
      <c r="J75" s="70" t="inlineStr">
        <is>
          <t>Beta</t>
        </is>
      </c>
      <c r="K75" s="70" t="inlineStr">
        <is>
          <t>System</t>
        </is>
      </c>
      <c r="L75" s="70" t="inlineStr">
        <is>
          <t>No</t>
        </is>
      </c>
      <c r="M75" s="70" t="n"/>
      <c r="N75" s="70" t="inlineStr">
        <is>
          <t>Not Started</t>
        </is>
      </c>
      <c r="O75" s="70" t="n"/>
    </row>
    <row r="76">
      <c r="A76" s="70" t="n">
        <v>183</v>
      </c>
      <c r="B76" s="70" t="inlineStr">
        <is>
          <t>WS14 — WS 14: PPR Transition &amp; Migration</t>
        </is>
      </c>
      <c r="C76" s="70" t="inlineStr">
        <is>
          <t>E-WS14.4</t>
        </is>
      </c>
      <c r="D76" s="70" t="inlineStr">
        <is>
          <t>Operational and Admin</t>
        </is>
      </c>
      <c r="E76" s="70" t="inlineStr">
        <is>
          <t>CAM admission flag — blocks Platinum benefits from loyalty engine</t>
        </is>
      </c>
      <c r="F76" s="70" t="inlineStr">
        <is>
          <t>Commercial team marks an account as CAM-admitted in CRM. Loyalty engine blocks Platinum benefit issuance for that account. Account is classified Platinum-tier-equivalent and routed through CAM benefits instead.</t>
        </is>
      </c>
      <c r="G76" s="70" t="inlineStr">
        <is>
          <t>PPR-AS-9</t>
        </is>
      </c>
      <c r="H76" s="70" t="inlineStr">
        <is>
          <t>AC: [Author TBD] Write Given/When/Then for happy path + edge cases.
    - Happy path: …
    - Edge case 1: …
    - Edge case 2: …
Definition of Ready: at least 2 ACs written and 0 unresolved Decision Log items.</t>
        </is>
      </c>
      <c r="I76" s="70" t="n"/>
      <c r="J76" s="70" t="inlineStr">
        <is>
          <t>Beta</t>
        </is>
      </c>
      <c r="K76" s="70" t="inlineStr">
        <is>
          <t>System</t>
        </is>
      </c>
      <c r="L76" s="70" t="inlineStr">
        <is>
          <t>No</t>
        </is>
      </c>
      <c r="M76" s="70" t="n"/>
      <c r="N76" s="70" t="inlineStr">
        <is>
          <t>Not Started</t>
        </is>
      </c>
      <c r="O76" s="70" t="n"/>
    </row>
    <row r="77">
      <c r="A77" s="70" t="n">
        <v>184</v>
      </c>
      <c r="B77" s="70" t="inlineStr">
        <is>
          <t>WS14 — WS 14: PPR Transition &amp; Migration</t>
        </is>
      </c>
      <c r="C77" s="70" t="inlineStr">
        <is>
          <t>E-WS14.4</t>
        </is>
      </c>
      <c r="D77" s="70" t="inlineStr">
        <is>
          <t>Operational and Admin</t>
        </is>
      </c>
      <c r="E77" s="70" t="inlineStr">
        <is>
          <t>Commercial team overrides CAM ineligibility — restores Platinum tier benefits in loyalty engine</t>
        </is>
      </c>
      <c r="F77" s="70" t="inlineStr">
        <is>
          <t>If commercial team determines a CAM-eligible account will not be admitted, they override the CAM flag in CRM, which propagates to POS / loyalty engine / PRO-facing UI and classifies the PRO as Platinum tier with normal benefits.</t>
        </is>
      </c>
      <c r="G77" s="70" t="inlineStr">
        <is>
          <t>PPR-AS-9</t>
        </is>
      </c>
      <c r="H77" s="70" t="inlineStr">
        <is>
          <t>AC: [Author TBD] Write Given/When/Then for happy path + edge cases.
    - Happy path: …
    - Edge case 1: …
    - Edge case 2: …
Definition of Ready: at least 2 ACs written and 0 unresolved Decision Log items.</t>
        </is>
      </c>
      <c r="I77" s="70" t="n"/>
      <c r="J77" s="70" t="inlineStr">
        <is>
          <t>Beta</t>
        </is>
      </c>
      <c r="K77" s="70" t="inlineStr">
        <is>
          <t>System</t>
        </is>
      </c>
      <c r="L77" s="70" t="inlineStr">
        <is>
          <t>No</t>
        </is>
      </c>
      <c r="M77" s="70" t="n"/>
      <c r="N77" s="70" t="inlineStr">
        <is>
          <t>Not Started</t>
        </is>
      </c>
      <c r="O77" s="70" t="n"/>
    </row>
    <row r="78">
      <c r="A78" s="70" t="n">
        <v>185</v>
      </c>
      <c r="B78" s="70" t="inlineStr">
        <is>
          <t>WS5 — WS 5: Offers &amp; Benefit Fulfillment (Delivery, Samples, Bid Room)</t>
        </is>
      </c>
      <c r="C78" s="70" t="inlineStr">
        <is>
          <t>E-WS5.3</t>
        </is>
      </c>
      <c r="D78" s="70" t="inlineStr">
        <is>
          <t>Operational and Admin</t>
        </is>
      </c>
      <c r="E78" s="70" t="inlineStr">
        <is>
          <t>Sample request routed through existing sample fulfillment center workflow</t>
        </is>
      </c>
      <c r="F78" s="70" t="inlineStr">
        <is>
          <t>Loyalty-eligible free sample requests at POS are routed to the existing sample fulfillment center workflow. SKU-level usage tracked back into loyalty engine.</t>
        </is>
      </c>
      <c r="G78" s="70" t="inlineStr">
        <is>
          <t>S-6, S-7</t>
        </is>
      </c>
      <c r="H78" s="70" t="inlineStr">
        <is>
          <t>AC: [Author TBD] Write Given/When/Then for happy path + edge cases.
    - Happy path: …
    - Edge case 1: …
    - Edge case 2: …
Definition of Ready: at least 2 ACs written and 0 unresolved Decision Log items.</t>
        </is>
      </c>
      <c r="I78" s="70" t="inlineStr">
        <is>
          <t>No new fulfillment infrastructure at launch.</t>
        </is>
      </c>
      <c r="J78" s="70" t="inlineStr">
        <is>
          <t>Beta</t>
        </is>
      </c>
      <c r="K78" s="70" t="inlineStr">
        <is>
          <t>System</t>
        </is>
      </c>
      <c r="L78" s="70" t="inlineStr">
        <is>
          <t>No</t>
        </is>
      </c>
      <c r="M78" s="70" t="n"/>
      <c r="N78" s="70" t="inlineStr">
        <is>
          <t>Not Started</t>
        </is>
      </c>
      <c r="O78" s="70" t="n"/>
    </row>
    <row r="79">
      <c r="A79" s="70" t="n">
        <v>186</v>
      </c>
      <c r="B79" s="70" t="inlineStr">
        <is>
          <t>WS15 — WS 15: Store Operations &amp; Training</t>
        </is>
      </c>
      <c r="C79" s="70" t="inlineStr">
        <is>
          <t>E-WS15.3</t>
        </is>
      </c>
      <c r="D79" s="70" t="inlineStr">
        <is>
          <t>Operational and Admin</t>
        </is>
      </c>
      <c r="E79" s="70" t="inlineStr">
        <is>
          <t>Customer Care escalation workflow for redemption disputes</t>
        </is>
      </c>
      <c r="F79" s="70" t="inlineStr">
        <is>
          <t>Store-level redemption disputes route to Customer Care for resolution. Store has no override authority; escalation extends above store level to prevent fraud.</t>
        </is>
      </c>
      <c r="G79" s="70" t="inlineStr">
        <is>
          <t>SO-WF-8, PPR-PC-4</t>
        </is>
      </c>
      <c r="H79" s="70" t="inlineStr">
        <is>
          <t>AC: [Author TBD] Write Given/When/Then for happy path + edge cases.
    - Happy path: …
    - Edge case 1: …
    - Edge case 2: …
Definition of Ready: at least 2 ACs written and 0 unresolved Decision Log items.</t>
        </is>
      </c>
      <c r="I79" s="70" t="n"/>
      <c r="J79" s="70" t="inlineStr">
        <is>
          <t>Beta</t>
        </is>
      </c>
      <c r="K79" s="70" t="inlineStr">
        <is>
          <t>Relationship</t>
        </is>
      </c>
      <c r="L79" s="70" t="inlineStr">
        <is>
          <t>No</t>
        </is>
      </c>
      <c r="M79" s="70" t="n"/>
      <c r="N79" s="70" t="inlineStr">
        <is>
          <t>Not Started</t>
        </is>
      </c>
      <c r="O79" s="70" t="n"/>
    </row>
    <row r="80">
      <c r="A80" s="70" t="n">
        <v>187</v>
      </c>
      <c r="B80" s="70" t="inlineStr">
        <is>
          <t>WS4 — WS 4: Program Configuration &amp; Business Rules</t>
        </is>
      </c>
      <c r="C80" s="70" t="inlineStr">
        <is>
          <t>E-WS4.1</t>
        </is>
      </c>
      <c r="D80" s="70" t="inlineStr">
        <is>
          <t>Operational and Admin</t>
        </is>
      </c>
      <c r="E80" s="70" t="inlineStr">
        <is>
          <t>Sample-eligible SKU and rule configuration updatable post-launch</t>
        </is>
      </c>
      <c r="F80" s="70" t="inlineStr">
        <is>
          <t>Although launch uses existing eligibility rules and SKU lists unchanged, systems support updates to sample eligibility rules and eligible SKUs that propagate consistently across platforms.</t>
        </is>
      </c>
      <c r="G80" s="70" t="inlineStr">
        <is>
          <t>S-2</t>
        </is>
      </c>
      <c r="H80" s="70" t="inlineStr">
        <is>
          <t>AC: [Author TBD] Write Given/When/Then for happy path + edge cases.
    - Happy path: …
    - Edge case 1: …
    - Edge case 2: …
Definition of Ready: at least 2 ACs written and 0 unresolved Decision Log items.</t>
        </is>
      </c>
      <c r="I80" s="70" t="inlineStr">
        <is>
          <t>Post-launch configurability requirement.</t>
        </is>
      </c>
      <c r="J80" s="70" t="inlineStr">
        <is>
          <t>Post-Launch</t>
        </is>
      </c>
      <c r="K80" s="70" t="inlineStr">
        <is>
          <t>System</t>
        </is>
      </c>
      <c r="L80" s="70" t="inlineStr">
        <is>
          <t>No</t>
        </is>
      </c>
      <c r="M80" s="70" t="n"/>
      <c r="N80" s="70" t="inlineStr">
        <is>
          <t>Not Started</t>
        </is>
      </c>
      <c r="O80" s="70" t="n"/>
    </row>
    <row r="81">
      <c r="A81" s="70" t="n">
        <v>188</v>
      </c>
      <c r="B81" s="70" t="inlineStr">
        <is>
          <t>WS3 — WS 3: Transaction &amp; Spend Ingestion</t>
        </is>
      </c>
      <c r="C81" s="70" t="inlineStr">
        <is>
          <t>E-WS3.3</t>
        </is>
      </c>
      <c r="D81" s="70" t="inlineStr">
        <is>
          <t>Operational and Admin</t>
        </is>
      </c>
      <c r="E81" s="70" t="inlineStr">
        <is>
          <t>Mis-attributed transaction reassigned post-transaction with audit trail</t>
        </is>
      </c>
      <c r="F81" s="70" t="inlineStr">
        <is>
          <t>Transaction attributed to the wrong account is reassigned via defined corrective workflow (system or manual). Loyalty engine adjusts spend, accrual, and tier accordingly with a SOX-compliant audit trail.</t>
        </is>
      </c>
      <c r="G81" s="70" t="inlineStr">
        <is>
          <t>CRM-CM-10, FA-ACT-4</t>
        </is>
      </c>
      <c r="H81" s="70" t="inlineStr">
        <is>
          <t>AC: [Author TBD] Write Given/When/Then for happy path + edge cases.
    - Happy path: …
    - Edge case 1: …
    - Edge case 2: …
Definition of Ready: at least 2 ACs written and 0 unresolved Decision Log items.</t>
        </is>
      </c>
      <c r="I81" s="70" t="inlineStr">
        <is>
          <t>Existing UC #5 covers misattribution generally; this defines the audit/process layer.</t>
        </is>
      </c>
      <c r="J81" s="70" t="inlineStr">
        <is>
          <t>Beta</t>
        </is>
      </c>
      <c r="K81" s="70" t="inlineStr">
        <is>
          <t>System</t>
        </is>
      </c>
      <c r="L81" s="70" t="inlineStr">
        <is>
          <t>No</t>
        </is>
      </c>
      <c r="M81" s="70" t="n"/>
      <c r="N81" s="70" t="inlineStr">
        <is>
          <t>Not Started</t>
        </is>
      </c>
      <c r="O81" s="70" t="n"/>
    </row>
    <row r="82">
      <c r="A82" s="70" t="n">
        <v>189</v>
      </c>
      <c r="B82" s="70" t="inlineStr">
        <is>
          <t>WS8 — WS 8: CRM Systems Enablement</t>
        </is>
      </c>
      <c r="C82" s="70" t="inlineStr">
        <is>
          <t>E-WS8.2</t>
        </is>
      </c>
      <c r="D82" s="70" t="inlineStr">
        <is>
          <t>Operational and Admin</t>
        </is>
      </c>
      <c r="E82" s="70" t="inlineStr">
        <is>
          <t>Account data quality validation rules enforced at CRM intake</t>
        </is>
      </c>
      <c r="F82" s="70" t="inlineStr">
        <is>
          <t>CRM validates required fields, formatting, and duplicate detection at account creation and update; invalid records routed to review.</t>
        </is>
      </c>
      <c r="G82" s="70" t="inlineStr">
        <is>
          <t>CRM-DF-9, CRM-DF-2</t>
        </is>
      </c>
      <c r="H82" s="70" t="inlineStr">
        <is>
          <t>AC: [Author TBD] Write Given/When/Then for happy path + edge cases.
    - Happy path: …
    - Edge case 1: …
    - Edge case 2: …
Definition of Ready: at least 2 ACs written and 0 unresolved Decision Log items.</t>
        </is>
      </c>
      <c r="I82" s="70" t="n"/>
      <c r="J82" s="70" t="inlineStr">
        <is>
          <t>Beta</t>
        </is>
      </c>
      <c r="K82" s="70" t="inlineStr">
        <is>
          <t>System</t>
        </is>
      </c>
      <c r="L82" s="70" t="inlineStr">
        <is>
          <t>No</t>
        </is>
      </c>
      <c r="M82" s="70" t="n"/>
      <c r="N82" s="70" t="inlineStr">
        <is>
          <t>Not Started</t>
        </is>
      </c>
      <c r="O82" s="70" t="n"/>
    </row>
    <row r="83">
      <c r="A83" s="70" t="n">
        <v>190</v>
      </c>
      <c r="B83" s="70" t="inlineStr">
        <is>
          <t>MP — MyProject Modifications / Integrations</t>
        </is>
      </c>
      <c r="C83" s="70" t="inlineStr">
        <is>
          <t>E-MP.2</t>
        </is>
      </c>
      <c r="D83" s="70" t="inlineStr">
        <is>
          <t>Financial Award</t>
        </is>
      </c>
      <c r="E83" s="70" t="inlineStr">
        <is>
          <t>Rebate payment details captured securely via app for third-party disbursement</t>
        </is>
      </c>
      <c r="F83" s="70" t="inlineStr">
        <is>
          <t>PRO provides valid mailing address (and any other required disbursement info) via PRO app. Loyalty engine securely stores and forwards to the 3rd-party check-writing provider.</t>
        </is>
      </c>
      <c r="G83" s="70" t="inlineStr">
        <is>
          <t>J-CR-9, R-CR-3</t>
        </is>
      </c>
      <c r="H83" s="70" t="inlineStr">
        <is>
          <t>AC: [Author TBD] Write Given/When/Then for happy path + edge cases.
    - Happy path: …
    - Edge case 1: …
    - Edge case 2: …
Definition of Ready: at least 2 ACs written and 0 unresolved Decision Log items.</t>
        </is>
      </c>
      <c r="I83" s="70" t="inlineStr">
        <is>
          <t>Required fields depend on disbursement method.</t>
        </is>
      </c>
      <c r="J83" s="70" t="inlineStr">
        <is>
          <t>Full Launch</t>
        </is>
      </c>
      <c r="K83" s="70" t="inlineStr">
        <is>
          <t>Relationship</t>
        </is>
      </c>
      <c r="L83" s="70" t="inlineStr">
        <is>
          <t>No</t>
        </is>
      </c>
      <c r="M83" s="70" t="n"/>
      <c r="N83" s="70" t="inlineStr">
        <is>
          <t>Not Started</t>
        </is>
      </c>
      <c r="O83" s="70" t="n"/>
    </row>
    <row r="84">
      <c r="A84" s="70" t="n">
        <v>191</v>
      </c>
      <c r="B84" s="70" t="inlineStr">
        <is>
          <t>WS9 — WS 9: Finance &amp; Oracle ERP Integration</t>
        </is>
      </c>
      <c r="C84" s="70" t="inlineStr">
        <is>
          <t>E-WS9.2</t>
        </is>
      </c>
      <c r="D84" s="70" t="inlineStr">
        <is>
          <t>Financial Award</t>
        </is>
      </c>
      <c r="E84" s="70" t="inlineStr">
        <is>
          <t>Rebate mailing failure — PRO prompted to update mailing; 3-month remediation before forfeiture</t>
        </is>
      </c>
      <c r="F84" s="70" t="inlineStr">
        <is>
          <t>Payment provider returns a failed mailing notification to Oracle / CRM. PRO app prompts the primary to update mailing details. System allows reprocessing within a 3-month remediation window; rebate forfeited if unresolved, unless manually overridden by Customer Care.</t>
        </is>
      </c>
      <c r="G84" s="70" t="inlineStr">
        <is>
          <t>R-CR-4</t>
        </is>
      </c>
      <c r="H84" s="70" t="inlineStr">
        <is>
          <t>AC-1: GIVEN payment provider returns a failed mailing event to Oracle
       WHEN CRM receives the failure
       THEN PRO app prompts primary to update mailing address
AC-2: GIVEN primary updates mailing address within 3 months
       WHEN updated
       THEN payment is reprocessed in next disbursement cycle
AC-3: GIVEN 3 months pass without update
       WHEN window expires
       THEN rebate is forfeited unless Customer Care manually overrides</t>
        </is>
      </c>
      <c r="I84" s="70" t="n"/>
      <c r="J84" s="70" t="inlineStr">
        <is>
          <t>Full Launch</t>
        </is>
      </c>
      <c r="K84" s="70" t="inlineStr">
        <is>
          <t>Relationship</t>
        </is>
      </c>
      <c r="L84" s="70" t="inlineStr">
        <is>
          <t>No</t>
        </is>
      </c>
      <c r="M84" s="70" t="n"/>
      <c r="N84" s="70" t="inlineStr">
        <is>
          <t>Not Started</t>
        </is>
      </c>
      <c r="O84" s="70" t="n"/>
    </row>
    <row r="85">
      <c r="A85" s="70" t="n">
        <v>192</v>
      </c>
      <c r="B85" s="70" t="inlineStr">
        <is>
          <t>WS9 — WS 9: Finance &amp; Oracle ERP Integration</t>
        </is>
      </c>
      <c r="C85" s="70" t="inlineStr">
        <is>
          <t>E-WS9.2</t>
        </is>
      </c>
      <c r="D85" s="70" t="inlineStr">
        <is>
          <t>Financial Award</t>
        </is>
      </c>
      <c r="E85" s="70" t="inlineStr">
        <is>
          <t>Paid rebate amounts immutable — no clawback or recalculation</t>
        </is>
      </c>
      <c r="F85" s="70" t="inlineStr">
        <is>
          <t>Once a rebate is approved in Oracle and disbursed via the payment provider, loyalty engine and financial systems prevent any clawback, recalculation, or adjustment.</t>
        </is>
      </c>
      <c r="G85" s="70" t="inlineStr">
        <is>
          <t>R-CR-5</t>
        </is>
      </c>
      <c r="H85" s="70" t="inlineStr">
        <is>
          <t>AC: [Author TBD] Write Given/When/Then for happy path + edge cases.
    - Happy path: …
    - Edge case 1: …
    - Edge case 2: …
Definition of Ready: at least 2 ACs written and 0 unresolved Decision Log items.</t>
        </is>
      </c>
      <c r="I85" s="70" t="n"/>
      <c r="J85" s="70" t="inlineStr">
        <is>
          <t>Full Launch</t>
        </is>
      </c>
      <c r="K85" s="70" t="inlineStr">
        <is>
          <t>System</t>
        </is>
      </c>
      <c r="L85" s="70" t="inlineStr">
        <is>
          <t>No</t>
        </is>
      </c>
      <c r="M85" s="70" t="n"/>
      <c r="N85" s="70" t="inlineStr">
        <is>
          <t>Not Started</t>
        </is>
      </c>
      <c r="O85" s="70" t="n"/>
    </row>
    <row r="86">
      <c r="A86" s="70" t="n">
        <v>193</v>
      </c>
      <c r="B86" s="70" t="inlineStr">
        <is>
          <t>WS2 — WS 2: Financial Awards &amp; Rewards</t>
        </is>
      </c>
      <c r="C86" s="70" t="inlineStr">
        <is>
          <t>E-WS2.6</t>
        </is>
      </c>
      <c r="D86" s="70" t="inlineStr">
        <is>
          <t>Financial Award</t>
        </is>
      </c>
      <c r="E86" s="70" t="inlineStr">
        <is>
          <t>Annual reward type re-election at calendar year start for Gold / Platinum</t>
        </is>
      </c>
      <c r="F86" s="70" t="inlineStr">
        <is>
          <t>At Jan 1, eligible accounts are prompted to select rebate or F&amp;D Bucks for the new year. No selection within window → F&amp;D Bucks default applies.</t>
        </is>
      </c>
      <c r="G86" s="70" t="inlineStr">
        <is>
          <t>J-CR-1, J-CR-3, J-CR-8</t>
        </is>
      </c>
      <c r="H86" s="70" t="inlineStr">
        <is>
          <t>AC: [Author TBD] Write Given/When/Then for happy path + edge cases.
    - Happy path: …
    - Edge case 1: …
    - Edge case 2: …
Definition of Ready: at least 2 ACs written and 0 unresolved Decision Log items.</t>
        </is>
      </c>
      <c r="I86" s="70" t="inlineStr">
        <is>
          <t>Selection window length TBD; open question on annual reselection in source doc.</t>
        </is>
      </c>
      <c r="J86" s="70" t="inlineStr">
        <is>
          <t>Full Launch</t>
        </is>
      </c>
      <c r="K86" s="70" t="inlineStr">
        <is>
          <t>Relationship</t>
        </is>
      </c>
      <c r="L86" s="70" t="inlineStr">
        <is>
          <t>No</t>
        </is>
      </c>
      <c r="M86" s="70" t="n"/>
      <c r="N86" s="70" t="inlineStr">
        <is>
          <t>Not Started</t>
        </is>
      </c>
      <c r="O86" s="70" t="n"/>
    </row>
    <row r="87">
      <c r="A87" s="70" t="n">
        <v>194</v>
      </c>
      <c r="B87" s="70" t="inlineStr">
        <is>
          <t>WS1 — WS 1: Core Loyalty Engine — Member, Tier &amp; Ledger</t>
        </is>
      </c>
      <c r="C87" s="70" t="inlineStr">
        <is>
          <t>E-WS1.3</t>
        </is>
      </c>
      <c r="D87" s="70" t="inlineStr">
        <is>
          <t>Financial Award</t>
        </is>
      </c>
      <c r="E87" s="70" t="inlineStr">
        <is>
          <t>Tier downgrade preserves prior rewards; forces F&amp;D Bucks on new spend</t>
        </is>
      </c>
      <c r="F87" s="70" t="inlineStr">
        <is>
          <t>An account downgraded from Gold/Platinum to Silver at year start retains prior period accruals and rebate elections, but new-year spend must accrue as F&amp;D Bucks under Silver-tier rules until requalification.</t>
        </is>
      </c>
      <c r="G87" s="70" t="inlineStr">
        <is>
          <t>J-GC-6, J-CR-7</t>
        </is>
      </c>
      <c r="H87" s="70" t="inlineStr">
        <is>
          <t>AC: [Author TBD] Write Given/When/Then for happy path + edge cases.
    - Happy path: …
    - Edge case 1: …
    - Edge case 2: …
Definition of Ready: at least 2 ACs written and 0 unresolved Decision Log items.</t>
        </is>
      </c>
      <c r="I87" s="70" t="n"/>
      <c r="J87" s="70" t="inlineStr">
        <is>
          <t>Full Launch</t>
        </is>
      </c>
      <c r="K87" s="70" t="inlineStr">
        <is>
          <t>System</t>
        </is>
      </c>
      <c r="L87" s="70" t="inlineStr">
        <is>
          <t>No</t>
        </is>
      </c>
      <c r="M87" s="70" t="n"/>
      <c r="N87" s="70" t="inlineStr">
        <is>
          <t>Not Started</t>
        </is>
      </c>
      <c r="O87" s="70" t="n"/>
    </row>
    <row r="88">
      <c r="A88" s="70" t="n">
        <v>195</v>
      </c>
      <c r="B88" s="70" t="inlineStr">
        <is>
          <t>WS2 — WS 2: Financial Awards &amp; Rewards</t>
        </is>
      </c>
      <c r="C88" s="70" t="inlineStr">
        <is>
          <t>E-WS2.6</t>
        </is>
      </c>
      <c r="D88" s="70" t="inlineStr">
        <is>
          <t>Financial Award</t>
        </is>
      </c>
      <c r="E88" s="70" t="inlineStr">
        <is>
          <t>Gold → Platinum upgrade triggers new reward selection prompt</t>
        </is>
      </c>
      <c r="F88" s="70" t="inlineStr">
        <is>
          <t>Account crossing into Platinum is prompted to select reward type for the new tier. Gold-band accruals remain under earlier election.</t>
        </is>
      </c>
      <c r="G88" s="70" t="inlineStr">
        <is>
          <t>J-CR-5</t>
        </is>
      </c>
      <c r="H88" s="70" t="inlineStr">
        <is>
          <t>AC: [Author TBD] Write Given/When/Then for happy path + edge cases.
    - Happy path: …
    - Edge case 1: …
    - Edge case 2: …
Definition of Ready: at least 2 ACs written and 0 unresolved Decision Log items.</t>
        </is>
      </c>
      <c r="I88" s="70" t="n"/>
      <c r="J88" s="70" t="inlineStr">
        <is>
          <t>Full Launch</t>
        </is>
      </c>
      <c r="K88" s="70" t="inlineStr">
        <is>
          <t>Relationship</t>
        </is>
      </c>
      <c r="L88" s="70" t="inlineStr">
        <is>
          <t>No</t>
        </is>
      </c>
      <c r="M88" s="70" t="n"/>
      <c r="N88" s="70" t="inlineStr">
        <is>
          <t>Not Started</t>
        </is>
      </c>
      <c r="O88" s="70" t="n"/>
    </row>
    <row r="89">
      <c r="A89" s="70" t="n">
        <v>196</v>
      </c>
      <c r="B89" s="70" t="inlineStr">
        <is>
          <t>WS2 — WS 2: Financial Awards &amp; Rewards</t>
        </is>
      </c>
      <c r="C89" s="70" t="inlineStr">
        <is>
          <t>E-WS2.4</t>
        </is>
      </c>
      <c r="D89" s="70" t="inlineStr">
        <is>
          <t>Financial Award</t>
        </is>
      </c>
      <c r="E89" s="70" t="inlineStr">
        <is>
          <t>Post-period returns — accrual adjustment policy enforced</t>
        </is>
      </c>
      <c r="F89" s="70" t="inlineStr">
        <is>
          <t>A return arriving after period close is handled per defined policy (e.g., reduce next period's accrual or revise current).</t>
        </is>
      </c>
      <c r="G89" s="70" t="inlineStr">
        <is>
          <t>E-CR-6</t>
        </is>
      </c>
      <c r="H89" s="70" t="inlineStr">
        <is>
          <t>AC: [Author TBD] Write Given/When/Then for happy path + edge cases.
    - Happy path: …
    - Edge case 1: …
    - Edge case 2: …
Definition of Ready: at least 2 ACs written and 0 unresolved Decision Log items.</t>
        </is>
      </c>
      <c r="I89" s="70" t="inlineStr">
        <is>
          <t>Open decision in source doc.</t>
        </is>
      </c>
      <c r="J89" s="70" t="inlineStr">
        <is>
          <t>Full Launch</t>
        </is>
      </c>
      <c r="K89" s="70" t="inlineStr">
        <is>
          <t>System</t>
        </is>
      </c>
      <c r="L89" s="70" t="inlineStr">
        <is>
          <t>No</t>
        </is>
      </c>
      <c r="M89" s="70" t="n"/>
      <c r="N89" s="70" t="inlineStr">
        <is>
          <t>Not Started</t>
        </is>
      </c>
      <c r="O89" s="70" t="n"/>
    </row>
    <row r="90">
      <c r="A90" s="70" t="n">
        <v>197</v>
      </c>
      <c r="B90" s="70" t="inlineStr">
        <is>
          <t>MP — MyProject Modifications / Integrations</t>
        </is>
      </c>
      <c r="C90" s="70" t="inlineStr">
        <is>
          <t>E-MP.2</t>
        </is>
      </c>
      <c r="D90" s="70" t="inlineStr">
        <is>
          <t>Financial Award</t>
        </is>
      </c>
      <c r="E90" s="70" t="inlineStr">
        <is>
          <t>Provisional rebate visible to PRO within 1-2 weeks; finalized post-period close</t>
        </is>
      </c>
      <c r="F90" s="70" t="inlineStr">
        <is>
          <t>PRO app displays provisional rebate accrual within 1-2 weeks of qualifying spend. Final rebate amount is locked after period close and return-window resolution.</t>
        </is>
      </c>
      <c r="G90" s="70" t="inlineStr">
        <is>
          <t>M-CR-6, E-CR-7, M-CR-1, M-CR-2</t>
        </is>
      </c>
      <c r="H90" s="70" t="inlineStr">
        <is>
          <t>AC: [Author TBD] Write Given/When/Then for happy path + edge cases.
    - Happy path: …
    - Edge case 1: …
    - Edge case 2: …
Definition of Ready: at least 2 ACs written and 0 unresolved Decision Log items.</t>
        </is>
      </c>
      <c r="I90" s="70" t="inlineStr">
        <is>
          <t>Latency window target stated; precise SLA TBD.</t>
        </is>
      </c>
      <c r="J90" s="70" t="inlineStr">
        <is>
          <t>Full Launch</t>
        </is>
      </c>
      <c r="K90" s="70" t="inlineStr">
        <is>
          <t>System</t>
        </is>
      </c>
      <c r="L90" s="70" t="inlineStr">
        <is>
          <t>No</t>
        </is>
      </c>
      <c r="M90" s="70" t="n"/>
      <c r="N90" s="70" t="inlineStr">
        <is>
          <t>Not Started</t>
        </is>
      </c>
      <c r="O90" s="70" t="n"/>
    </row>
    <row r="91">
      <c r="A91" s="70" t="n">
        <v>198</v>
      </c>
      <c r="B91" s="70" t="inlineStr">
        <is>
          <t>WS4 — WS 4: Program Configuration &amp; Business Rules</t>
        </is>
      </c>
      <c r="C91" s="70" t="inlineStr">
        <is>
          <t>E-WS4.1</t>
        </is>
      </c>
      <c r="D91" s="70" t="inlineStr">
        <is>
          <t>Financial Award</t>
        </is>
      </c>
      <c r="E91" s="70" t="inlineStr">
        <is>
          <t>Tier reward bands applied via configurable engine logic (Silver $50/$1K, Gold $50/$1K, Platinum $75/$1K)</t>
        </is>
      </c>
      <c r="F91" s="70" t="inlineStr">
        <is>
          <t>Loyalty engine applies tier-specific F&amp;D Bucks values per $1K of eligible spend using configurable tier logic tied to account status stored in CRM.</t>
        </is>
      </c>
      <c r="G91" s="70" t="inlineStr">
        <is>
          <t>E-GC-2</t>
        </is>
      </c>
      <c r="H91" s="70" t="inlineStr">
        <is>
          <t>AC: [Author TBD] Write Given/When/Then for happy path + edge cases.
    - Happy path: …
    - Edge case 1: …
    - Edge case 2: …
Definition of Ready: at least 2 ACs written and 0 unresolved Decision Log items.</t>
        </is>
      </c>
      <c r="I91" s="70" t="n"/>
      <c r="J91" s="70" t="inlineStr">
        <is>
          <t>Beta</t>
        </is>
      </c>
      <c r="K91" s="70" t="inlineStr">
        <is>
          <t>System</t>
        </is>
      </c>
      <c r="L91" s="70" t="inlineStr">
        <is>
          <t>No</t>
        </is>
      </c>
      <c r="M91" s="70" t="n"/>
      <c r="N91" s="70" t="inlineStr">
        <is>
          <t>Not Started</t>
        </is>
      </c>
      <c r="O91" s="70" t="n"/>
    </row>
    <row r="92">
      <c r="A92" s="70" t="n">
        <v>199</v>
      </c>
      <c r="B92" s="70" t="inlineStr">
        <is>
          <t>WS2 — WS 2: Financial Awards &amp; Rewards</t>
        </is>
      </c>
      <c r="C92" s="70" t="inlineStr">
        <is>
          <t>E-WS2.4</t>
        </is>
      </c>
      <c r="D92" s="70" t="inlineStr">
        <is>
          <t>Financial Award</t>
        </is>
      </c>
      <c r="E92" s="70" t="inlineStr">
        <is>
          <t>Rebate calculated by tier (3% Gold, 5% Platinum) on net eligible spend</t>
        </is>
      </c>
      <c r="F92" s="70" t="inlineStr">
        <is>
          <t>Loyalty engine applies tier-based rebate rates and sums cumulative totals across the accrual period.</t>
        </is>
      </c>
      <c r="G92" s="70" t="inlineStr">
        <is>
          <t>E-CR-1</t>
        </is>
      </c>
      <c r="H92" s="70" t="inlineStr">
        <is>
          <t>AC: [Author TBD] Write Given/When/Then for happy path + edge cases.
    - Happy path: …
    - Edge case 1: …
    - Edge case 2: …
Definition of Ready: at least 2 ACs written and 0 unresolved Decision Log items.</t>
        </is>
      </c>
      <c r="I92" s="70" t="n"/>
      <c r="J92" s="70" t="inlineStr">
        <is>
          <t>Full Launch</t>
        </is>
      </c>
      <c r="K92" s="70" t="inlineStr">
        <is>
          <t>System</t>
        </is>
      </c>
      <c r="L92" s="70" t="inlineStr">
        <is>
          <t>No</t>
        </is>
      </c>
      <c r="M92" s="70" t="n"/>
      <c r="N92" s="70" t="inlineStr">
        <is>
          <t>Not Started</t>
        </is>
      </c>
      <c r="O92" s="70" t="n"/>
    </row>
    <row r="93">
      <c r="A93" s="70" t="n">
        <v>200</v>
      </c>
      <c r="B93" s="70" t="inlineStr">
        <is>
          <t>WS14 — WS 14: PPR Transition &amp; Migration</t>
        </is>
      </c>
      <c r="C93" s="70" t="inlineStr">
        <is>
          <t>E-WS14.1</t>
        </is>
      </c>
      <c r="D93" s="70" t="inlineStr">
        <is>
          <t>PPR Transition</t>
        </is>
      </c>
      <c r="E93" s="70" t="inlineStr">
        <is>
          <t>PPR cutoff boundary transactions handled correctly (finalized before vs. after timestamp)</t>
        </is>
      </c>
      <c r="F93" s="70" t="inlineStr">
        <is>
          <t>A transaction finalized before the cutoff timestamp earns PPR points; a transaction finalized after the cutoff does not. POS enforces hard stop at configured timestamp across in-store, app, and web.</t>
        </is>
      </c>
      <c r="G93" s="70" t="inlineStr">
        <is>
          <t>PPR-WD-1, PPR-WD-2</t>
        </is>
      </c>
      <c r="H93" s="70" t="inlineStr">
        <is>
          <t>AC: [Author TBD] Write Given/When/Then for happy path + edge cases.
    - Happy path: …
    - Edge case 1: …
    - Edge case 2: …
Definition of Ready: at least 2 ACs written and 0 unresolved Decision Log items.</t>
        </is>
      </c>
      <c r="I93" s="70" t="inlineStr">
        <is>
          <t>Cutoff timestamp TBD (likely end of 2026).</t>
        </is>
      </c>
      <c r="J93" s="70" t="inlineStr">
        <is>
          <t>Beta</t>
        </is>
      </c>
      <c r="K93" s="70" t="inlineStr">
        <is>
          <t>System</t>
        </is>
      </c>
      <c r="L93" s="70" t="inlineStr">
        <is>
          <t>No</t>
        </is>
      </c>
      <c r="M93" s="70" t="n"/>
      <c r="N93" s="70" t="inlineStr">
        <is>
          <t>Not Started</t>
        </is>
      </c>
      <c r="O93" s="70" t="n"/>
    </row>
    <row r="94">
      <c r="A94" s="70" t="n">
        <v>201</v>
      </c>
      <c r="B94" s="70" t="inlineStr">
        <is>
          <t>WS14 — WS 14: PPR Transition &amp; Migration</t>
        </is>
      </c>
      <c r="C94" s="70" t="inlineStr">
        <is>
          <t>E-WS14.1</t>
        </is>
      </c>
      <c r="D94" s="70" t="inlineStr">
        <is>
          <t>PPR Transition</t>
        </is>
      </c>
      <c r="E94" s="70" t="inlineStr">
        <is>
          <t>Retroactive PPR claim post-cutoff for transactions completed before cutoff</t>
        </is>
      </c>
      <c r="F94" s="70" t="inlineStr">
        <is>
          <t>A PRO retroactively claims PPR points on a transaction whose finalized timestamp is before the cutoff. Existing PPR retro-claim workflow honors the request through the redemption portal.</t>
        </is>
      </c>
      <c r="G94" s="70" t="inlineStr">
        <is>
          <t>PPR-WD-3</t>
        </is>
      </c>
      <c r="H94" s="70" t="inlineStr">
        <is>
          <t>AC: [Author TBD] Write Given/When/Then for happy path + edge cases.
    - Happy path: …
    - Edge case 1: …
    - Edge case 2: …
Definition of Ready: at least 2 ACs written and 0 unresolved Decision Log items.</t>
        </is>
      </c>
      <c r="I94" s="70" t="n"/>
      <c r="J94" s="70" t="inlineStr">
        <is>
          <t>Beta</t>
        </is>
      </c>
      <c r="K94" s="70" t="inlineStr">
        <is>
          <t>System</t>
        </is>
      </c>
      <c r="L94" s="70" t="inlineStr">
        <is>
          <t>No</t>
        </is>
      </c>
      <c r="M94" s="70" t="n"/>
      <c r="N94" s="70" t="inlineStr">
        <is>
          <t>Not Started</t>
        </is>
      </c>
      <c r="O94" s="70" t="n"/>
    </row>
    <row r="95">
      <c r="A95" s="70" t="n">
        <v>202</v>
      </c>
      <c r="B95" s="70" t="inlineStr">
        <is>
          <t>WS14 — WS 14: PPR Transition &amp; Migration</t>
        </is>
      </c>
      <c r="C95" s="70" t="inlineStr">
        <is>
          <t>E-WS14.1</t>
        </is>
      </c>
      <c r="D95" s="70" t="inlineStr">
        <is>
          <t>PPR Transition</t>
        </is>
      </c>
      <c r="E95" s="70" t="inlineStr">
        <is>
          <t>Post-cutoff return on PPR-earning transaction deducts points; may go negative</t>
        </is>
      </c>
      <c r="F95" s="70" t="inlineStr">
        <is>
          <t>A return on a transaction that had earned PPR points deducts the points from PPR balance — even if balance drops below zero — consistent with existing PPR behavior.</t>
        </is>
      </c>
      <c r="G95" s="70" t="inlineStr">
        <is>
          <t>PPR-WD-4</t>
        </is>
      </c>
      <c r="H95" s="70" t="inlineStr">
        <is>
          <t>AC: [Author TBD] Write Given/When/Then for happy path + edge cases.
    - Happy path: …
    - Edge case 1: …
    - Edge case 2: …
Definition of Ready: at least 2 ACs written and 0 unresolved Decision Log items.</t>
        </is>
      </c>
      <c r="I95" s="70" t="n"/>
      <c r="J95" s="70" t="inlineStr">
        <is>
          <t>Beta</t>
        </is>
      </c>
      <c r="K95" s="70" t="inlineStr">
        <is>
          <t>System</t>
        </is>
      </c>
      <c r="L95" s="70" t="inlineStr">
        <is>
          <t>No</t>
        </is>
      </c>
      <c r="M95" s="70" t="n"/>
      <c r="N95" s="70" t="inlineStr">
        <is>
          <t>Not Started</t>
        </is>
      </c>
      <c r="O95" s="70" t="n"/>
    </row>
    <row r="96">
      <c r="A96" s="70" t="n">
        <v>203</v>
      </c>
      <c r="B96" s="70" t="inlineStr">
        <is>
          <t>WS14 — WS 14: PPR Transition &amp; Migration</t>
        </is>
      </c>
      <c r="C96" s="70" t="inlineStr">
        <is>
          <t>E-WS14.2</t>
        </is>
      </c>
      <c r="D96" s="70" t="inlineStr">
        <is>
          <t>PPR Transition</t>
        </is>
      </c>
      <c r="E96" s="70" t="inlineStr">
        <is>
          <t>PRO redeems PPR points indefinitely via Augeo post-cutoff</t>
        </is>
      </c>
      <c r="F96" s="70" t="inlineStr">
        <is>
          <t>Legacy PPR redemption via Augeo continues indefinitely after the new program launches. PPR catalog and redemption rules unchanged.</t>
        </is>
      </c>
      <c r="G96" s="70" t="inlineStr">
        <is>
          <t>PPR-WD-5, PPR-WD-6</t>
        </is>
      </c>
      <c r="H96" s="70" t="inlineStr">
        <is>
          <t>AC: [Author TBD] Write Given/When/Then for happy path + edge cases.
    - Happy path: …
    - Edge case 1: …
    - Edge case 2: …
Definition of Ready: at least 2 ACs written and 0 unresolved Decision Log items.</t>
        </is>
      </c>
      <c r="I96" s="70" t="n"/>
      <c r="J96" s="70" t="inlineStr">
        <is>
          <t>Beta</t>
        </is>
      </c>
      <c r="K96" s="70" t="inlineStr">
        <is>
          <t>Relationship</t>
        </is>
      </c>
      <c r="L96" s="70" t="inlineStr">
        <is>
          <t>No</t>
        </is>
      </c>
      <c r="M96" s="70" t="n"/>
      <c r="N96" s="70" t="inlineStr">
        <is>
          <t>Not Started</t>
        </is>
      </c>
      <c r="O96" s="70" t="n"/>
    </row>
    <row r="97">
      <c r="A97" s="70" t="n">
        <v>204</v>
      </c>
      <c r="B97" s="70" t="inlineStr">
        <is>
          <t>MP — MyProject Modifications / Integrations</t>
        </is>
      </c>
      <c r="C97" s="70" t="inlineStr">
        <is>
          <t>E-MP.2</t>
        </is>
      </c>
      <c r="D97" s="70" t="inlineStr">
        <is>
          <t>PPR Transition</t>
        </is>
      </c>
      <c r="E97" s="70" t="inlineStr">
        <is>
          <t>Legacy PPR points balance displayed in new program touchpoints</t>
        </is>
      </c>
      <c r="F97" s="70" t="inlineStr">
        <is>
          <t>Primary (and delegates with view permission) can view outstanding PPR points balance within new program app / web touchpoints, alongside new program data.</t>
        </is>
      </c>
      <c r="G97" s="70" t="inlineStr">
        <is>
          <t>PPR-WD-9, PPR-WD-8</t>
        </is>
      </c>
      <c r="H97" s="70" t="inlineStr">
        <is>
          <t>AC: [Author TBD] Write Given/When/Then for happy path + edge cases.
    - Happy path: …
    - Edge case 1: …
    - Edge case 2: …
Definition of Ready: at least 2 ACs written and 0 unresolved Decision Log items.</t>
        </is>
      </c>
      <c r="I97" s="70" t="n"/>
      <c r="J97" s="70" t="inlineStr">
        <is>
          <t>Beta</t>
        </is>
      </c>
      <c r="K97" s="70" t="inlineStr">
        <is>
          <t>Relationship</t>
        </is>
      </c>
      <c r="L97" s="70" t="inlineStr">
        <is>
          <t>No</t>
        </is>
      </c>
      <c r="M97" s="70" t="n"/>
      <c r="N97" s="70" t="inlineStr">
        <is>
          <t>Not Started</t>
        </is>
      </c>
      <c r="O97" s="70" t="n"/>
    </row>
    <row r="98">
      <c r="A98" s="70" t="n">
        <v>205</v>
      </c>
      <c r="B98" s="70" t="inlineStr">
        <is>
          <t>WS13 — WS 13: Marketing &amp; Communications</t>
        </is>
      </c>
      <c r="C98" s="70" t="inlineStr">
        <is>
          <t>E-WS13.4</t>
        </is>
      </c>
      <c r="D98" s="70" t="inlineStr">
        <is>
          <t>PPR Transition</t>
        </is>
      </c>
      <c r="E98" s="70" t="inlineStr">
        <is>
          <t>Transition notification series across email, app, and e-comm at key milestones</t>
        </is>
      </c>
      <c r="F98" s="70" t="inlineStr">
        <is>
          <t>Marketing sends transition comms at T-3mo, point-earning stop, program launch, and T-90d before extended-redemption expiry.</t>
        </is>
      </c>
      <c r="G98" s="70" t="inlineStr">
        <is>
          <t>PPR-PC-1, PPR-PC-2, MC-TRN-4</t>
        </is>
      </c>
      <c r="H98" s="70" t="inlineStr">
        <is>
          <t>AC: [Author TBD] Write Given/When/Then for happy path + edge cases.
    - Happy path: …
    - Edge case 1: …
    - Edge case 2: …
Definition of Ready: at least 2 ACs written and 0 unresolved Decision Log items.</t>
        </is>
      </c>
      <c r="I98" s="70" t="inlineStr">
        <is>
          <t>Content owned by Marketing &amp; Comms.</t>
        </is>
      </c>
      <c r="J98" s="70" t="inlineStr">
        <is>
          <t>Beta</t>
        </is>
      </c>
      <c r="K98" s="70" t="inlineStr">
        <is>
          <t>System</t>
        </is>
      </c>
      <c r="L98" s="70" t="inlineStr">
        <is>
          <t>No</t>
        </is>
      </c>
      <c r="M98" s="70" t="n"/>
      <c r="N98" s="70" t="inlineStr">
        <is>
          <t>Not Started</t>
        </is>
      </c>
      <c r="O98" s="70" t="n"/>
    </row>
    <row r="99">
      <c r="A99" s="70" t="n">
        <v>206</v>
      </c>
      <c r="B99" s="70" t="inlineStr">
        <is>
          <t>WS13 — WS 13: Marketing &amp; Communications</t>
        </is>
      </c>
      <c r="C99" s="70" t="inlineStr">
        <is>
          <t>E-WS13.4</t>
        </is>
      </c>
      <c r="D99" s="70" t="inlineStr">
        <is>
          <t>PPR Transition</t>
        </is>
      </c>
      <c r="E99" s="70" t="inlineStr">
        <is>
          <t>Transition comm delivery and open rates tracked by account</t>
        </is>
      </c>
      <c r="F99" s="70" t="inlineStr">
        <is>
          <t>CRM tracks delivery status and engagement (open rate for digital) of transition messages per account for legal compliance and program insight.</t>
        </is>
      </c>
      <c r="G99" s="70" t="inlineStr">
        <is>
          <t>PPR-PC-3</t>
        </is>
      </c>
      <c r="H99" s="70" t="inlineStr">
        <is>
          <t>AC: [Author TBD] Write Given/When/Then for happy path + edge cases.
    - Happy path: …
    - Edge case 1: …
    - Edge case 2: …
Definition of Ready: at least 2 ACs written and 0 unresolved Decision Log items.</t>
        </is>
      </c>
      <c r="I99" s="70" t="n"/>
      <c r="J99" s="70" t="inlineStr">
        <is>
          <t>Beta</t>
        </is>
      </c>
      <c r="K99" s="70" t="inlineStr">
        <is>
          <t>System</t>
        </is>
      </c>
      <c r="L99" s="70" t="inlineStr">
        <is>
          <t>No</t>
        </is>
      </c>
      <c r="M99" s="70" t="n"/>
      <c r="N99" s="70" t="inlineStr">
        <is>
          <t>Not Started</t>
        </is>
      </c>
      <c r="O99" s="70" t="n"/>
    </row>
    <row r="100">
      <c r="A100" s="70" t="n">
        <v>207</v>
      </c>
      <c r="B100" s="70" t="inlineStr">
        <is>
          <t>MP — MyProject Modifications / Integrations</t>
        </is>
      </c>
      <c r="C100" s="70" t="inlineStr">
        <is>
          <t>E-MP.3</t>
        </is>
      </c>
      <c r="D100" s="70" t="inlineStr">
        <is>
          <t>PPR Transition</t>
        </is>
      </c>
      <c r="E100" s="70" t="inlineStr">
        <is>
          <t>First post-launch login or transaction triggers welcome flow + data capture</t>
        </is>
      </c>
      <c r="F100" s="70" t="inlineStr">
        <is>
          <t>When a migrated PRO logs in or transacts for the first time post-launch, PRO app surfaces a welcome / consent flow and prompts for missing user-level fields.</t>
        </is>
      </c>
      <c r="G100" s="70" t="inlineStr">
        <is>
          <t>PPR-DC-4</t>
        </is>
      </c>
      <c r="H100" s="70" t="inlineStr">
        <is>
          <t>AC: [Author TBD] Write Given/When/Then for happy path + edge cases.
    - Happy path: …
    - Edge case 1: …
    - Edge case 2: …
Definition of Ready: at least 2 ACs written and 0 unresolved Decision Log items.</t>
        </is>
      </c>
      <c r="I100" s="70" t="n"/>
      <c r="J100" s="70" t="inlineStr">
        <is>
          <t>Beta</t>
        </is>
      </c>
      <c r="K100" s="70" t="inlineStr">
        <is>
          <t>Relationship</t>
        </is>
      </c>
      <c r="L100" s="70" t="inlineStr">
        <is>
          <t>No</t>
        </is>
      </c>
      <c r="M100" s="70" t="n"/>
      <c r="N100" s="70" t="inlineStr">
        <is>
          <t>Not Started</t>
        </is>
      </c>
      <c r="O100" s="70" t="n"/>
    </row>
    <row r="101">
      <c r="A101" s="70" t="n">
        <v>208</v>
      </c>
      <c r="B101" s="70" t="inlineStr">
        <is>
          <t>WS12 — WS 12: POS / Store Workflows (Veras)</t>
        </is>
      </c>
      <c r="C101" s="70" t="inlineStr">
        <is>
          <t>E-WS12.1</t>
        </is>
      </c>
      <c r="D101" s="70" t="inlineStr">
        <is>
          <t>PPR Transition</t>
        </is>
      </c>
      <c r="E101" s="70" t="inlineStr">
        <is>
          <t>Associate-attempted manual tier seeding — blocked at store level</t>
        </is>
      </c>
      <c r="F101" s="70" t="inlineStr">
        <is>
          <t>Store associates cannot force tier seeding. Only the centrally configured migration logic applies; attempts at the register / PRO desk are blocked.</t>
        </is>
      </c>
      <c r="G101" s="70" t="inlineStr">
        <is>
          <t>PPR-AS-4</t>
        </is>
      </c>
      <c r="H101" s="70" t="inlineStr">
        <is>
          <t>AC: [Author TBD] Write Given/When/Then for happy path + edge cases.
    - Happy path: …
    - Edge case 1: …
    - Edge case 2: …
Definition of Ready: at least 2 ACs written and 0 unresolved Decision Log items.</t>
        </is>
      </c>
      <c r="I101" s="70" t="n"/>
      <c r="J101" s="70" t="inlineStr">
        <is>
          <t>Beta</t>
        </is>
      </c>
      <c r="K101" s="70" t="inlineStr">
        <is>
          <t>System</t>
        </is>
      </c>
      <c r="L101" s="70" t="inlineStr">
        <is>
          <t>No</t>
        </is>
      </c>
      <c r="M101" s="70" t="n"/>
      <c r="N101" s="70" t="inlineStr">
        <is>
          <t>Not Started</t>
        </is>
      </c>
      <c r="O101" s="70" t="n"/>
    </row>
    <row r="102">
      <c r="A102" s="70" t="n">
        <v>209</v>
      </c>
      <c r="B102" s="70" t="inlineStr">
        <is>
          <t>WS14 — WS 14: PPR Transition &amp; Migration</t>
        </is>
      </c>
      <c r="C102" s="70" t="inlineStr">
        <is>
          <t>E-WS14.5</t>
        </is>
      </c>
      <c r="D102" s="70" t="inlineStr">
        <is>
          <t>PPR Transition</t>
        </is>
      </c>
      <c r="E102" s="70" t="inlineStr">
        <is>
          <t>Pre-launch data outreach to PROs with incomplete profiles</t>
        </is>
      </c>
      <c r="F102" s="70" t="inlineStr">
        <is>
          <t>Before transition, F&amp;D initiates outreach to accounts with incomplete business / user information to facilitate user-to-account mapping. CRM tracks initiation and outcome of data-collection outreach.</t>
        </is>
      </c>
      <c r="G102" s="70" t="inlineStr">
        <is>
          <t>MC-TRN-5, PPR-DC-1, PPR-DC-2</t>
        </is>
      </c>
      <c r="H102" s="70" t="inlineStr">
        <is>
          <t>AC: [Author TBD] Write Given/When/Then for happy path + edge cases.
    - Happy path: …
    - Edge case 1: …
    - Edge case 2: …
Definition of Ready: at least 2 ACs written and 0 unresolved Decision Log items.</t>
        </is>
      </c>
      <c r="I102" s="70" t="n"/>
      <c r="J102" s="70" t="inlineStr">
        <is>
          <t>Beta</t>
        </is>
      </c>
      <c r="K102" s="70" t="inlineStr">
        <is>
          <t>Relationship</t>
        </is>
      </c>
      <c r="L102" s="70" t="inlineStr">
        <is>
          <t>No</t>
        </is>
      </c>
      <c r="M102" s="70" t="n"/>
      <c r="N102" s="70" t="inlineStr">
        <is>
          <t>Not Started</t>
        </is>
      </c>
      <c r="O102" s="70" t="n"/>
    </row>
    <row r="103">
      <c r="A103" s="70" t="n">
        <v>210</v>
      </c>
      <c r="B103" s="70" t="inlineStr">
        <is>
          <t>WS14 — WS 14: PPR Transition &amp; Migration</t>
        </is>
      </c>
      <c r="C103" s="70" t="inlineStr">
        <is>
          <t>E-WS14.5</t>
        </is>
      </c>
      <c r="D103" s="70" t="inlineStr">
        <is>
          <t>PPR Transition</t>
        </is>
      </c>
      <c r="E103" s="70" t="inlineStr">
        <is>
          <t>Unmapped PPR contact flagged for self-onboarding / assignment</t>
        </is>
      </c>
      <c r="F103" s="70" t="inlineStr">
        <is>
          <t>PPR contacts that cannot be cleanly mapped to a new account are flagged and routed to a self-directed onboarding flow (create new account or be confirmed onto existing account by primary).</t>
        </is>
      </c>
      <c r="G103" s="70" t="inlineStr">
        <is>
          <t>CRM-CM-5</t>
        </is>
      </c>
      <c r="H103" s="70" t="inlineStr">
        <is>
          <t>AC: [Author TBD] Write Given/When/Then for happy path + edge cases.
    - Happy path: …
    - Edge case 1: …
    - Edge case 2: …
Definition of Ready: at least 2 ACs written and 0 unresolved Decision Log items.</t>
        </is>
      </c>
      <c r="I103" s="70" t="n"/>
      <c r="J103" s="70" t="inlineStr">
        <is>
          <t>Beta</t>
        </is>
      </c>
      <c r="K103" s="70" t="inlineStr">
        <is>
          <t>Relationship</t>
        </is>
      </c>
      <c r="L103" s="70" t="inlineStr">
        <is>
          <t>No</t>
        </is>
      </c>
      <c r="M103" s="70" t="n"/>
      <c r="N103" s="70" t="inlineStr">
        <is>
          <t>Not Started</t>
        </is>
      </c>
      <c r="O103" s="70" t="n"/>
    </row>
    <row r="104">
      <c r="A104" s="70" t="n">
        <v>211</v>
      </c>
      <c r="B104" s="70" t="inlineStr">
        <is>
          <t>WS14 — WS 14: PPR Transition &amp; Migration</t>
        </is>
      </c>
      <c r="C104" s="70" t="inlineStr">
        <is>
          <t>E-WS14.3</t>
        </is>
      </c>
      <c r="D104" s="70" t="inlineStr">
        <is>
          <t>PPR Transition</t>
        </is>
      </c>
      <c r="E104" s="70" t="inlineStr">
        <is>
          <t>Duplicate PPR contacts merged to single user profile during migration</t>
        </is>
      </c>
      <c r="F104" s="70" t="inlineStr">
        <is>
          <t>CRM detects duplicate PPR contact records during migration and merges them into a single user profile while preserving transaction history.</t>
        </is>
      </c>
      <c r="G104" s="70" t="inlineStr">
        <is>
          <t>CRM-CM-4</t>
        </is>
      </c>
      <c r="H104" s="70" t="inlineStr">
        <is>
          <t>AC: [Author TBD] Write Given/When/Then for happy path + edge cases.
    - Happy path: …
    - Edge case 1: …
    - Edge case 2: …
Definition of Ready: at least 2 ACs written and 0 unresolved Decision Log items.</t>
        </is>
      </c>
      <c r="I104" s="70" t="n"/>
      <c r="J104" s="70" t="inlineStr">
        <is>
          <t>Beta</t>
        </is>
      </c>
      <c r="K104" s="70" t="inlineStr">
        <is>
          <t>System</t>
        </is>
      </c>
      <c r="L104" s="70" t="inlineStr">
        <is>
          <t>No</t>
        </is>
      </c>
      <c r="M104" s="70" t="n"/>
      <c r="N104" s="70" t="inlineStr">
        <is>
          <t>Not Started</t>
        </is>
      </c>
      <c r="O104" s="70" t="n"/>
    </row>
    <row r="105">
      <c r="A105" s="70" t="n">
        <v>212</v>
      </c>
      <c r="B105" s="70" t="inlineStr">
        <is>
          <t>WS9 — WS 9: Finance &amp; Oracle ERP Integration</t>
        </is>
      </c>
      <c r="C105" s="70" t="inlineStr">
        <is>
          <t>E-WS9.1</t>
        </is>
      </c>
      <c r="D105" s="70" t="inlineStr">
        <is>
          <t>Finance and Accounting</t>
        </is>
      </c>
      <c r="E105" s="70" t="inlineStr">
        <is>
          <t>New program liability recognized at point of eligible PRO transaction</t>
        </is>
      </c>
      <c r="F105" s="70" t="inlineStr">
        <is>
          <t>At qualifying transaction completion, loyalty engine increments outstanding-award liability for accounting. Liability is continuously updated as PROs progress toward reward thresholds.</t>
        </is>
      </c>
      <c r="G105" s="70" t="inlineStr">
        <is>
          <t>FA-ACT-5</t>
        </is>
      </c>
      <c r="H105" s="70" t="inlineStr">
        <is>
          <t>AC: [Author TBD] Write Given/When/Then for happy path + edge cases.
    - Happy path: …
    - Edge case 1: …
    - Edge case 2: …
Definition of Ready: at least 2 ACs written and 0 unresolved Decision Log items.</t>
        </is>
      </c>
      <c r="I105" s="70" t="n"/>
      <c r="J105" s="70" t="inlineStr">
        <is>
          <t>Beta</t>
        </is>
      </c>
      <c r="K105" s="70" t="inlineStr">
        <is>
          <t>System</t>
        </is>
      </c>
      <c r="L105" s="70" t="inlineStr">
        <is>
          <t>Yes</t>
        </is>
      </c>
      <c r="M105" s="70" t="n"/>
      <c r="N105" s="70" t="inlineStr">
        <is>
          <t>Not Started</t>
        </is>
      </c>
      <c r="O105" s="70" t="n"/>
    </row>
    <row r="106">
      <c r="A106" s="70" t="n">
        <v>213</v>
      </c>
      <c r="B106" s="70" t="inlineStr">
        <is>
          <t>WS9 — WS 9: Finance &amp; Oracle ERP Integration</t>
        </is>
      </c>
      <c r="C106" s="70" t="inlineStr">
        <is>
          <t>E-WS9.1</t>
        </is>
      </c>
      <c r="D106" s="70" t="inlineStr">
        <is>
          <t>Finance and Accounting</t>
        </is>
      </c>
      <c r="E106" s="70" t="inlineStr">
        <is>
          <t>F&amp;D Bucks vs. rebate liability accounted separately (issued vs. accrued)</t>
        </is>
      </c>
      <c r="F106" s="70" t="inlineStr">
        <is>
          <t>F&amp;D Bucks are recorded as issued liability upon issuance and remain outstanding until redemption / expiration. Rebates are recorded as accrued liability upon earning and remain outstanding until period close, reconciliation, and payment.</t>
        </is>
      </c>
      <c r="G106" s="70" t="inlineStr">
        <is>
          <t>FA-ACT-7</t>
        </is>
      </c>
      <c r="H106" s="70" t="inlineStr">
        <is>
          <t>AC: [Author TBD] Write Given/When/Then for happy path + edge cases.
    - Happy path: …
    - Edge case 1: …
    - Edge case 2: …
Definition of Ready: at least 2 ACs written and 0 unresolved Decision Log items.</t>
        </is>
      </c>
      <c r="I106" s="70" t="n"/>
      <c r="J106" s="70" t="inlineStr">
        <is>
          <t>Beta</t>
        </is>
      </c>
      <c r="K106" s="70" t="inlineStr">
        <is>
          <t>System</t>
        </is>
      </c>
      <c r="L106" s="70" t="inlineStr">
        <is>
          <t>No</t>
        </is>
      </c>
      <c r="M106" s="70" t="n"/>
      <c r="N106" s="70" t="inlineStr">
        <is>
          <t>Not Started</t>
        </is>
      </c>
      <c r="O106" s="70" t="n"/>
    </row>
    <row r="107">
      <c r="A107" s="70" t="n">
        <v>214</v>
      </c>
      <c r="B107" s="70" t="inlineStr">
        <is>
          <t>WS14 — WS 14: PPR Transition &amp; Migration</t>
        </is>
      </c>
      <c r="C107" s="70" t="inlineStr">
        <is>
          <t>E-WS14.3</t>
        </is>
      </c>
      <c r="D107" s="70" t="inlineStr">
        <is>
          <t>Finance and Accounting</t>
        </is>
      </c>
      <c r="E107" s="70" t="inlineStr">
        <is>
          <t>Seeded PPR account tier flagged in ERP / CRM to drive proper liability accrual</t>
        </is>
      </c>
      <c r="F107" s="70" t="inlineStr">
        <is>
          <t>Migrated PRO accounts seeded into Silver/Gold/Platinum are flagged in ERP and CRM. Accruals occur at correct tier rate from day one for accounting, reconciliation, and audit.</t>
        </is>
      </c>
      <c r="G107" s="70" t="inlineStr">
        <is>
          <t>FA-ACT-2</t>
        </is>
      </c>
      <c r="H107" s="70" t="inlineStr">
        <is>
          <t>AC: [Author TBD] Write Given/When/Then for happy path + edge cases.
    - Happy path: …
    - Edge case 1: …
    - Edge case 2: …
Definition of Ready: at least 2 ACs written and 0 unresolved Decision Log items.</t>
        </is>
      </c>
      <c r="I107" s="70" t="n"/>
      <c r="J107" s="70" t="inlineStr">
        <is>
          <t>Beta</t>
        </is>
      </c>
      <c r="K107" s="70" t="inlineStr">
        <is>
          <t>System</t>
        </is>
      </c>
      <c r="L107" s="70" t="inlineStr">
        <is>
          <t>No</t>
        </is>
      </c>
      <c r="M107" s="70" t="n"/>
      <c r="N107" s="70" t="inlineStr">
        <is>
          <t>Not Started</t>
        </is>
      </c>
      <c r="O107" s="70" t="n"/>
    </row>
    <row r="108">
      <c r="A108" s="70" t="n">
        <v>215</v>
      </c>
      <c r="B108" s="70" t="inlineStr">
        <is>
          <t>WS6 — WS 6: Analytics &amp; KPI</t>
        </is>
      </c>
      <c r="C108" s="70" t="inlineStr">
        <is>
          <t>E-WS6.3</t>
        </is>
      </c>
      <c r="D108" s="70" t="inlineStr">
        <is>
          <t>Finance and Accounting</t>
        </is>
      </c>
      <c r="E108" s="70" t="inlineStr">
        <is>
          <t>Monthly breakage report (issued, redeemed, expired, total liability, actual vs. assumed breakage)</t>
        </is>
      </c>
      <c r="F108" s="70" t="inlineStr">
        <is>
          <t>Finance package produces monthly breakage inputs aligned with actuary methodology. ERP, CRM, and loyalty reporting systems contribute aligned definitions.</t>
        </is>
      </c>
      <c r="G108" s="70" t="inlineStr">
        <is>
          <t>FA-KPI-3, FA-ACT-8, CRM-KPI-2, CRM-KPI-6</t>
        </is>
      </c>
      <c r="H108" s="70" t="inlineStr">
        <is>
          <t>AC: [Author TBD] Write Given/When/Then for happy path + edge cases.
    - Happy path: …
    - Edge case 1: …
    - Edge case 2: …
Definition of Ready: at least 2 ACs written and 0 unresolved Decision Log items.</t>
        </is>
      </c>
      <c r="I108" s="70" t="inlineStr">
        <is>
          <t>Breakage methodology pending 3rd-party actuary.</t>
        </is>
      </c>
      <c r="J108" s="70" t="inlineStr">
        <is>
          <t>Full Launch</t>
        </is>
      </c>
      <c r="K108" s="70" t="inlineStr">
        <is>
          <t>System</t>
        </is>
      </c>
      <c r="L108" s="70" t="inlineStr">
        <is>
          <t>No</t>
        </is>
      </c>
      <c r="M108" s="70" t="n"/>
      <c r="N108" s="70" t="inlineStr">
        <is>
          <t>Not Started</t>
        </is>
      </c>
      <c r="O108" s="70" t="n"/>
    </row>
    <row r="109">
      <c r="A109" s="70" t="n">
        <v>216</v>
      </c>
      <c r="B109" s="70" t="inlineStr">
        <is>
          <t>WS6 — WS 6: Analytics &amp; KPI</t>
        </is>
      </c>
      <c r="C109" s="70" t="inlineStr">
        <is>
          <t>E-WS6.1</t>
        </is>
      </c>
      <c r="D109" s="70" t="inlineStr">
        <is>
          <t>Finance and Accounting</t>
        </is>
      </c>
      <c r="E109" s="70" t="inlineStr">
        <is>
          <t>Loyalty P&amp;L produced monthly for CFO / CEO</t>
        </is>
      </c>
      <c r="F109" s="70" t="inlineStr">
        <is>
          <t>Finance reporting layer assembles loyalty P&amp;L using ERP, POS, CRM, and loyalty engine data on a monthly cadence as part of FP&amp;A package.</t>
        </is>
      </c>
      <c r="G109" s="70" t="inlineStr">
        <is>
          <t>FA-KPI-5, CRM-KPI-7</t>
        </is>
      </c>
      <c r="H109" s="70" t="inlineStr">
        <is>
          <t>AC: [Author TBD] Write Given/When/Then for happy path + edge cases.
    - Happy path: …
    - Edge case 1: …
    - Edge case 2: …
Definition of Ready: at least 2 ACs written and 0 unresolved Decision Log items.</t>
        </is>
      </c>
      <c r="I109" s="70" t="n"/>
      <c r="J109" s="70" t="inlineStr">
        <is>
          <t>Full Launch</t>
        </is>
      </c>
      <c r="K109" s="70" t="inlineStr">
        <is>
          <t>System</t>
        </is>
      </c>
      <c r="L109" s="70" t="inlineStr">
        <is>
          <t>No</t>
        </is>
      </c>
      <c r="M109" s="70" t="n"/>
      <c r="N109" s="70" t="inlineStr">
        <is>
          <t>Not Started</t>
        </is>
      </c>
      <c r="O109" s="70" t="n"/>
    </row>
    <row r="110">
      <c r="A110" s="70" t="n">
        <v>217</v>
      </c>
      <c r="B110" s="70" t="inlineStr">
        <is>
          <t>WS6 — WS 6: Analytics &amp; KPI</t>
        </is>
      </c>
      <c r="C110" s="70" t="inlineStr">
        <is>
          <t>E-WS6.1</t>
        </is>
      </c>
      <c r="D110" s="70" t="inlineStr">
        <is>
          <t>Finance and Accounting</t>
        </is>
      </c>
      <c r="E110" s="70" t="inlineStr">
        <is>
          <t>Executive summary 1-pager for CFO/CEO refreshed monthly</t>
        </is>
      </c>
      <c r="F110" s="70" t="inlineStr">
        <is>
          <t>PDF executive summary with exec dashboard data refreshed monthly.</t>
        </is>
      </c>
      <c r="G110" s="70" t="inlineStr">
        <is>
          <t>FA-KPI-5</t>
        </is>
      </c>
      <c r="H110" s="70" t="inlineStr">
        <is>
          <t>AC: [Author TBD] Write Given/When/Then for happy path + edge cases.
    - Happy path: …
    - Edge case 1: …
    - Edge case 2: …
Definition of Ready: at least 2 ACs written and 0 unresolved Decision Log items.</t>
        </is>
      </c>
      <c r="I110" s="70" t="n"/>
      <c r="J110" s="70" t="inlineStr">
        <is>
          <t>Full Launch</t>
        </is>
      </c>
      <c r="K110" s="70" t="inlineStr">
        <is>
          <t>System</t>
        </is>
      </c>
      <c r="L110" s="70" t="inlineStr">
        <is>
          <t>No</t>
        </is>
      </c>
      <c r="M110" s="70" t="n"/>
      <c r="N110" s="70" t="inlineStr">
        <is>
          <t>Not Started</t>
        </is>
      </c>
      <c r="O110" s="70" t="n"/>
    </row>
    <row r="111">
      <c r="A111" s="70" t="n">
        <v>218</v>
      </c>
      <c r="B111" s="70" t="inlineStr">
        <is>
          <t>WS6 — WS 6: Analytics &amp; KPI</t>
        </is>
      </c>
      <c r="C111" s="70" t="inlineStr">
        <is>
          <t>E-WS6.1</t>
        </is>
      </c>
      <c r="D111" s="70" t="inlineStr">
        <is>
          <t>Finance and Accounting</t>
        </is>
      </c>
      <c r="E111" s="70" t="inlineStr">
        <is>
          <t>Program performance dashboard refreshed monthly for CCO / Marketing</t>
        </is>
      </c>
      <c r="F111" s="70" t="inlineStr">
        <is>
          <t>PowerBI program performance dashboard refreshed monthly for Chief Customer Officer and Marketing.</t>
        </is>
      </c>
      <c r="G111" s="70" t="inlineStr">
        <is>
          <t>FA-KPI-5, CRM-KPI-7</t>
        </is>
      </c>
      <c r="H111" s="70" t="inlineStr">
        <is>
          <t>AC: [Author TBD] Write Given/When/Then for happy path + edge cases.
    - Happy path: …
    - Edge case 1: …
    - Edge case 2: …
Definition of Ready: at least 2 ACs written and 0 unresolved Decision Log items.</t>
        </is>
      </c>
      <c r="I111" s="70" t="n"/>
      <c r="J111" s="70" t="inlineStr">
        <is>
          <t>Full Launch</t>
        </is>
      </c>
      <c r="K111" s="70" t="inlineStr">
        <is>
          <t>System</t>
        </is>
      </c>
      <c r="L111" s="70" t="inlineStr">
        <is>
          <t>No</t>
        </is>
      </c>
      <c r="M111" s="70" t="n"/>
      <c r="N111" s="70" t="inlineStr">
        <is>
          <t>Not Started</t>
        </is>
      </c>
      <c r="O111" s="70" t="n"/>
    </row>
    <row r="112">
      <c r="A112" s="70" t="n">
        <v>219</v>
      </c>
      <c r="B112" s="70" t="inlineStr">
        <is>
          <t>WS6 — WS 6: Analytics &amp; KPI</t>
        </is>
      </c>
      <c r="C112" s="70" t="inlineStr">
        <is>
          <t>E-WS6.2</t>
        </is>
      </c>
      <c r="D112" s="70" t="inlineStr">
        <is>
          <t>Finance and Accounting</t>
        </is>
      </c>
      <c r="E112" s="70" t="inlineStr">
        <is>
          <t>Store scorecard refreshed weekly for RVPs / DMs / stores</t>
        </is>
      </c>
      <c r="F112" s="70" t="inlineStr">
        <is>
          <t>Weekly PowerBI scorecard surfaces loyalty engagement and performance KPIs by store.</t>
        </is>
      </c>
      <c r="G112" s="70" t="inlineStr">
        <is>
          <t>FA-KPI-5, CRM-KPI-7, CRM-KPI-8</t>
        </is>
      </c>
      <c r="H112" s="70" t="inlineStr">
        <is>
          <t>AC: [Author TBD] Write Given/When/Then for happy path + edge cases.
    - Happy path: …
    - Edge case 1: …
    - Edge case 2: …
Definition of Ready: at least 2 ACs written and 0 unresolved Decision Log items.</t>
        </is>
      </c>
      <c r="I112" s="70" t="n"/>
      <c r="J112" s="70" t="inlineStr">
        <is>
          <t>Full Launch</t>
        </is>
      </c>
      <c r="K112" s="70" t="inlineStr">
        <is>
          <t>System</t>
        </is>
      </c>
      <c r="L112" s="70" t="inlineStr">
        <is>
          <t>No</t>
        </is>
      </c>
      <c r="M112" s="70" t="n"/>
      <c r="N112" s="70" t="inlineStr">
        <is>
          <t>Not Started</t>
        </is>
      </c>
      <c r="O112" s="70" t="n"/>
    </row>
    <row r="113">
      <c r="A113" s="70" t="n">
        <v>220</v>
      </c>
      <c r="B113" s="70" t="inlineStr">
        <is>
          <t>WS6 — WS 6: Analytics &amp; KPI</t>
        </is>
      </c>
      <c r="C113" s="70" t="inlineStr">
        <is>
          <t>E-WS6.2</t>
        </is>
      </c>
      <c r="D113" s="70" t="inlineStr">
        <is>
          <t>Finance and Accounting</t>
        </is>
      </c>
      <c r="E113" s="70" t="inlineStr">
        <is>
          <t>Operational health dashboard refreshed daily for loyalty internal team</t>
        </is>
      </c>
      <c r="F113" s="70" t="inlineStr">
        <is>
          <t>Daily dashboard surfaces award issuance, redemption, error rates, and integration health to loyalty operations team.</t>
        </is>
      </c>
      <c r="G113" s="70" t="inlineStr">
        <is>
          <t>FA-KPI-5, CRM-KPI-7, CRM-KPI-8</t>
        </is>
      </c>
      <c r="H113" s="70" t="inlineStr">
        <is>
          <t>AC: [Author TBD] Write Given/When/Then for happy path + edge cases.
    - Happy path: …
    - Edge case 1: …
    - Edge case 2: …
Definition of Ready: at least 2 ACs written and 0 unresolved Decision Log items.</t>
        </is>
      </c>
      <c r="I113" s="70" t="n"/>
      <c r="J113" s="70" t="inlineStr">
        <is>
          <t>Full Launch</t>
        </is>
      </c>
      <c r="K113" s="70" t="inlineStr">
        <is>
          <t>System</t>
        </is>
      </c>
      <c r="L113" s="70" t="inlineStr">
        <is>
          <t>No</t>
        </is>
      </c>
      <c r="M113" s="70" t="n"/>
      <c r="N113" s="70" t="inlineStr">
        <is>
          <t>Not Started</t>
        </is>
      </c>
      <c r="O113" s="70" t="n"/>
    </row>
    <row r="114">
      <c r="A114" s="70" t="n">
        <v>221</v>
      </c>
      <c r="B114" s="70" t="inlineStr">
        <is>
          <t>WS6 — WS 6: Analytics &amp; KPI</t>
        </is>
      </c>
      <c r="C114" s="70" t="inlineStr">
        <is>
          <t>E-WS6.5</t>
        </is>
      </c>
      <c r="D114" s="70" t="inlineStr">
        <is>
          <t>Finance and Accounting</t>
        </is>
      </c>
      <c r="E114" s="70" t="inlineStr">
        <is>
          <t>Incrementality report quarterly for CFO / CMO</t>
        </is>
      </c>
      <c r="F114" s="70" t="inlineStr">
        <is>
          <t>Quarterly standalone presentation quantifies revenue attributable to the loyalty program. Methodology and data sourcing established by finance.</t>
        </is>
      </c>
      <c r="G114" s="70" t="inlineStr">
        <is>
          <t>FA-KPI-4, FA-KPI-5</t>
        </is>
      </c>
      <c r="H114" s="70" t="inlineStr">
        <is>
          <t>AC: [Author TBD] Write Given/When/Then for happy path + edge cases.
    - Happy path: …
    - Edge case 1: …
    - Edge case 2: …
Definition of Ready: at least 2 ACs written and 0 unresolved Decision Log items.</t>
        </is>
      </c>
      <c r="I114" s="70" t="inlineStr">
        <is>
          <t>Methodology TBD.</t>
        </is>
      </c>
      <c r="J114" s="70" t="inlineStr">
        <is>
          <t>Post-Launch</t>
        </is>
      </c>
      <c r="K114" s="70" t="inlineStr">
        <is>
          <t>System</t>
        </is>
      </c>
      <c r="L114" s="70" t="inlineStr">
        <is>
          <t>No</t>
        </is>
      </c>
      <c r="M114" s="70" t="n"/>
      <c r="N114" s="70" t="inlineStr">
        <is>
          <t>Not Started</t>
        </is>
      </c>
      <c r="O114" s="70" t="n"/>
    </row>
    <row r="115">
      <c r="A115" s="70" t="n">
        <v>222</v>
      </c>
      <c r="B115" s="70" t="inlineStr">
        <is>
          <t>WS6 — WS 6: Analytics &amp; KPI</t>
        </is>
      </c>
      <c r="C115" s="70" t="inlineStr">
        <is>
          <t>E-WS6.3</t>
        </is>
      </c>
      <c r="D115" s="70" t="inlineStr">
        <is>
          <t>Finance and Accounting</t>
        </is>
      </c>
      <c r="E115" s="70" t="inlineStr">
        <is>
          <t>Liability &amp; breakage report monthly for CFO / Controller</t>
        </is>
      </c>
      <c r="F115" s="70" t="inlineStr">
        <is>
          <t>Monthly finance package contains liability and breakage report tracking outstanding award liability and movement.</t>
        </is>
      </c>
      <c r="G115" s="70" t="inlineStr">
        <is>
          <t>FA-KPI-5, FA-ACT-7</t>
        </is>
      </c>
      <c r="H115" s="70" t="inlineStr">
        <is>
          <t>AC: [Author TBD] Write Given/When/Then for happy path + edge cases.
    - Happy path: …
    - Edge case 1: …
    - Edge case 2: …
Definition of Ready: at least 2 ACs written and 0 unresolved Decision Log items.</t>
        </is>
      </c>
      <c r="I115" s="70" t="n"/>
      <c r="J115" s="70" t="inlineStr">
        <is>
          <t>Full Launch</t>
        </is>
      </c>
      <c r="K115" s="70" t="inlineStr">
        <is>
          <t>System</t>
        </is>
      </c>
      <c r="L115" s="70" t="inlineStr">
        <is>
          <t>No</t>
        </is>
      </c>
      <c r="M115" s="70" t="n"/>
      <c r="N115" s="70" t="inlineStr">
        <is>
          <t>Not Started</t>
        </is>
      </c>
      <c r="O115" s="70" t="n"/>
    </row>
    <row r="116">
      <c r="A116" s="70" t="n">
        <v>223</v>
      </c>
      <c r="B116" s="70" t="inlineStr">
        <is>
          <t>WS6 — WS 6: Analytics &amp; KPI</t>
        </is>
      </c>
      <c r="C116" s="70" t="inlineStr">
        <is>
          <t>E-WS6.5</t>
        </is>
      </c>
      <c r="D116" s="70" t="inlineStr">
        <is>
          <t>Finance and Accounting</t>
        </is>
      </c>
      <c r="E116" s="70" t="inlineStr">
        <is>
          <t>Member cohort LTV analysis quarterly</t>
        </is>
      </c>
      <c r="F116" s="70" t="inlineStr">
        <is>
          <t>Quarterly cohort LTV analysis by enrollment cohort delivered to CFO / CMO / Strategy as part of QBR.</t>
        </is>
      </c>
      <c r="G116" s="70" t="inlineStr">
        <is>
          <t>FA-KPI-5</t>
        </is>
      </c>
      <c r="H116" s="70" t="inlineStr">
        <is>
          <t>AC: [Author TBD] Write Given/When/Then for happy path + edge cases.
    - Happy path: …
    - Edge case 1: …
    - Edge case 2: …
Definition of Ready: at least 2 ACs written and 0 unresolved Decision Log items.</t>
        </is>
      </c>
      <c r="I116" s="70" t="n"/>
      <c r="J116" s="70" t="inlineStr">
        <is>
          <t>Post-Launch</t>
        </is>
      </c>
      <c r="K116" s="70" t="inlineStr">
        <is>
          <t>System</t>
        </is>
      </c>
      <c r="L116" s="70" t="inlineStr">
        <is>
          <t>No</t>
        </is>
      </c>
      <c r="M116" s="70" t="n"/>
      <c r="N116" s="70" t="inlineStr">
        <is>
          <t>Not Started</t>
        </is>
      </c>
      <c r="O116" s="70" t="n"/>
    </row>
    <row r="117">
      <c r="A117" s="70" t="n">
        <v>224</v>
      </c>
      <c r="B117" s="70" t="inlineStr">
        <is>
          <t>WS9 — WS 9: Finance &amp; Oracle ERP Integration</t>
        </is>
      </c>
      <c r="C117" s="70" t="inlineStr">
        <is>
          <t>E-WS9.1</t>
        </is>
      </c>
      <c r="D117" s="70" t="inlineStr">
        <is>
          <t>Finance and Accounting</t>
        </is>
      </c>
      <c r="E117" s="70" t="inlineStr">
        <is>
          <t>PPR liability tracked alongside new program liability as contract liability for external reporting</t>
        </is>
      </c>
      <c r="F117" s="70" t="inlineStr">
        <is>
          <t>Both legacy PPR liability and new program liability exist concurrently as contract liabilities until PPR program completely sunsets.</t>
        </is>
      </c>
      <c r="G117" s="70" t="inlineStr">
        <is>
          <t>FA-ACT-1, FA-ACT-3</t>
        </is>
      </c>
      <c r="H117" s="70" t="inlineStr">
        <is>
          <t>AC: [Author TBD] Write Given/When/Then for happy path + edge cases.
    - Happy path: …
    - Edge case 1: …
    - Edge case 2: …
Definition of Ready: at least 2 ACs written and 0 unresolved Decision Log items.</t>
        </is>
      </c>
      <c r="I117" s="70" t="n"/>
      <c r="J117" s="70" t="inlineStr">
        <is>
          <t>Beta</t>
        </is>
      </c>
      <c r="K117" s="70" t="inlineStr">
        <is>
          <t>System</t>
        </is>
      </c>
      <c r="L117" s="70" t="inlineStr">
        <is>
          <t>No</t>
        </is>
      </c>
      <c r="M117" s="70" t="n"/>
      <c r="N117" s="70" t="inlineStr">
        <is>
          <t>Not Started</t>
        </is>
      </c>
      <c r="O117" s="70" t="n"/>
    </row>
    <row r="118">
      <c r="A118" s="70" t="n">
        <v>225</v>
      </c>
      <c r="B118" s="70" t="inlineStr">
        <is>
          <t>WS9 — WS 9: Finance &amp; Oracle ERP Integration</t>
        </is>
      </c>
      <c r="C118" s="70" t="inlineStr">
        <is>
          <t>E-WS9.1</t>
        </is>
      </c>
      <c r="D118" s="70" t="inlineStr">
        <is>
          <t>Finance and Accounting</t>
        </is>
      </c>
      <c r="E118" s="70" t="inlineStr">
        <is>
          <t>PPR points cancelled at expiration per existing procedure</t>
        </is>
      </c>
      <c r="F118" s="70" t="inlineStr">
        <is>
          <t>Upon reaching expiration tier, the PRO team cancels remaining PPR points per current procedure for expiring accounts.</t>
        </is>
      </c>
      <c r="G118" s="70" t="inlineStr">
        <is>
          <t>FA-ACT-3</t>
        </is>
      </c>
      <c r="H118" s="70" t="inlineStr">
        <is>
          <t>AC: [Author TBD] Write Given/When/Then for happy path + edge cases.
    - Happy path: …
    - Edge case 1: …
    - Edge case 2: …
Definition of Ready: at least 2 ACs written and 0 unresolved Decision Log items.</t>
        </is>
      </c>
      <c r="I118" s="70" t="inlineStr">
        <is>
          <t>PPR earning likely closes early 2027; redemption window extends beyond launch.</t>
        </is>
      </c>
      <c r="J118" s="70" t="inlineStr">
        <is>
          <t>Post-Launch</t>
        </is>
      </c>
      <c r="K118" s="70" t="inlineStr">
        <is>
          <t>System</t>
        </is>
      </c>
      <c r="L118" s="70" t="inlineStr">
        <is>
          <t>No</t>
        </is>
      </c>
      <c r="M118" s="70" t="n"/>
      <c r="N118" s="70" t="inlineStr">
        <is>
          <t>Not Started</t>
        </is>
      </c>
      <c r="O118" s="70" t="n"/>
    </row>
    <row r="119">
      <c r="A119" s="70" t="n">
        <v>226</v>
      </c>
      <c r="B119" s="70" t="inlineStr">
        <is>
          <t>WS9 — WS 9: Finance &amp; Oracle ERP Integration</t>
        </is>
      </c>
      <c r="C119" s="70" t="inlineStr">
        <is>
          <t>E-WS9.1</t>
        </is>
      </c>
      <c r="D119" s="70" t="inlineStr">
        <is>
          <t>Finance and Accounting</t>
        </is>
      </c>
      <c r="E119" s="70" t="inlineStr">
        <is>
          <t>Required accounting fields captured for every loyalty event (txn ID, account ID, date, eligible spend, reward type/value, adjustment, status, timestamps)</t>
        </is>
      </c>
      <c r="F119" s="70" t="inlineStr">
        <is>
          <t>Source systems flow transaction-level metadata into loyalty/finance environments to support accrual calculation, reconciliation, and journal entry.</t>
        </is>
      </c>
      <c r="G119" s="70" t="inlineStr">
        <is>
          <t>FA-ACT-6</t>
        </is>
      </c>
      <c r="H119" s="70" t="inlineStr">
        <is>
          <t>AC: [Author TBD] Write Given/When/Then for happy path + edge cases.
    - Happy path: …
    - Edge case 1: …
    - Edge case 2: …
Definition of Ready: at least 2 ACs written and 0 unresolved Decision Log items.</t>
        </is>
      </c>
      <c r="I119" s="70" t="n"/>
      <c r="J119" s="70" t="inlineStr">
        <is>
          <t>Beta</t>
        </is>
      </c>
      <c r="K119" s="70" t="inlineStr">
        <is>
          <t>System</t>
        </is>
      </c>
      <c r="L119" s="70" t="inlineStr">
        <is>
          <t>No</t>
        </is>
      </c>
      <c r="M119" s="70" t="n"/>
      <c r="N119" s="70" t="inlineStr">
        <is>
          <t>Not Started</t>
        </is>
      </c>
      <c r="O119" s="70" t="n"/>
    </row>
    <row r="120">
      <c r="A120" s="70" t="n">
        <v>227</v>
      </c>
      <c r="B120" s="70" t="inlineStr">
        <is>
          <t>WS6 — WS 6: Analytics &amp; KPI</t>
        </is>
      </c>
      <c r="C120" s="70" t="inlineStr">
        <is>
          <t>E-WS6.2</t>
        </is>
      </c>
      <c r="D120" s="70" t="inlineStr">
        <is>
          <t>Pricing</t>
        </is>
      </c>
      <c r="E120" s="70" t="inlineStr">
        <is>
          <t>Bulk pricing tracked via MD codes for reporting and margin analysis</t>
        </is>
      </c>
      <c r="F120" s="70" t="inlineStr">
        <is>
          <t>Every bulk-priced transaction carries an MD code in the transaction record so reporting can quantify adoption, margin impact, and program performance.</t>
        </is>
      </c>
      <c r="G120" s="70" t="inlineStr">
        <is>
          <t>PR-BP-10</t>
        </is>
      </c>
      <c r="H120" s="70" t="inlineStr">
        <is>
          <t>AC: [Author TBD] Write Given/When/Then for happy path + edge cases.
    - Happy path: …
    - Edge case 1: …
    - Edge case 2: …
Definition of Ready: at least 2 ACs written and 0 unresolved Decision Log items.</t>
        </is>
      </c>
      <c r="I120" s="70" t="n"/>
      <c r="J120" s="70" t="inlineStr">
        <is>
          <t>Beta</t>
        </is>
      </c>
      <c r="K120" s="70" t="inlineStr">
        <is>
          <t>System</t>
        </is>
      </c>
      <c r="L120" s="70" t="inlineStr">
        <is>
          <t>No</t>
        </is>
      </c>
      <c r="M120" s="70" t="n"/>
      <c r="N120" s="70" t="inlineStr">
        <is>
          <t>Not Started</t>
        </is>
      </c>
      <c r="O120" s="70" t="n"/>
    </row>
    <row r="121">
      <c r="A121" s="70" t="n">
        <v>228</v>
      </c>
      <c r="B121" s="70" t="inlineStr">
        <is>
          <t>WS6 — WS 6: Analytics &amp; KPI</t>
        </is>
      </c>
      <c r="C121" s="70" t="inlineStr">
        <is>
          <t>E-WS6.2</t>
        </is>
      </c>
      <c r="D121" s="70" t="inlineStr">
        <is>
          <t>Pricing</t>
        </is>
      </c>
      <c r="E121" s="70" t="inlineStr">
        <is>
          <t>Bid room transactions tracked via MD codes (systemic vs. non-systemic discount)</t>
        </is>
      </c>
      <c r="F121" s="70" t="inlineStr">
        <is>
          <t>Bid room transactions carry MD codes that distinguish systemic vs. associate-overridden bid room discounts to enable margin and behavioral reporting.</t>
        </is>
      </c>
      <c r="G121" s="70" t="inlineStr">
        <is>
          <t>PR-BR-4</t>
        </is>
      </c>
      <c r="H121" s="70" t="inlineStr">
        <is>
          <t>AC: [Author TBD] Write Given/When/Then for happy path + edge cases.
    - Happy path: …
    - Edge case 1: …
    - Edge case 2: …
Definition of Ready: at least 2 ACs written and 0 unresolved Decision Log items.</t>
        </is>
      </c>
      <c r="I121" s="70" t="n"/>
      <c r="J121" s="70" t="inlineStr">
        <is>
          <t>Full Launch</t>
        </is>
      </c>
      <c r="K121" s="70" t="inlineStr">
        <is>
          <t>System</t>
        </is>
      </c>
      <c r="L121" s="70" t="inlineStr">
        <is>
          <t>No</t>
        </is>
      </c>
      <c r="M121" s="70" t="n"/>
      <c r="N121" s="70" t="inlineStr">
        <is>
          <t>Not Started</t>
        </is>
      </c>
      <c r="O121" s="70" t="n"/>
    </row>
    <row r="122">
      <c r="A122" s="70" t="n">
        <v>229</v>
      </c>
      <c r="B122" s="70" t="inlineStr">
        <is>
          <t>WS11 — WS 11: E-commerce Web</t>
        </is>
      </c>
      <c r="C122" s="70" t="inlineStr">
        <is>
          <t>E-WS11.2</t>
        </is>
      </c>
      <c r="D122" s="70" t="inlineStr">
        <is>
          <t>Pricing</t>
        </is>
      </c>
      <c r="E122" s="70" t="inlineStr">
        <is>
          <t>Online cart SKU quantity hits threshold — unit price updates in real time</t>
        </is>
      </c>
      <c r="F122" s="70" t="inlineStr">
        <is>
          <t>As a PRO adjusts a SKU quantity in the online cart and hits a defined bulk threshold, the displayed unit price for that line updates immediately.</t>
        </is>
      </c>
      <c r="G122" s="70" t="inlineStr">
        <is>
          <t>PR-BP-6</t>
        </is>
      </c>
      <c r="H122" s="70" t="inlineStr">
        <is>
          <t>AC: [Author TBD] Write Given/When/Then for happy path + edge cases.
    - Happy path: …
    - Edge case 1: …
    - Edge case 2: …
Definition of Ready: at least 2 ACs written and 0 unresolved Decision Log items.</t>
        </is>
      </c>
      <c r="I122" s="70" t="n"/>
      <c r="J122" s="70" t="inlineStr">
        <is>
          <t>Full Launch</t>
        </is>
      </c>
      <c r="K122" s="70" t="inlineStr">
        <is>
          <t>System</t>
        </is>
      </c>
      <c r="L122" s="70" t="inlineStr">
        <is>
          <t>Yes</t>
        </is>
      </c>
      <c r="M122" s="70" t="n"/>
      <c r="N122" s="70" t="inlineStr">
        <is>
          <t>Not Started</t>
        </is>
      </c>
      <c r="O122" s="70" t="n"/>
    </row>
    <row r="123">
      <c r="A123" s="70" t="n">
        <v>230</v>
      </c>
      <c r="B123" s="70" t="inlineStr">
        <is>
          <t>WS11 — WS 11: E-commerce Web</t>
        </is>
      </c>
      <c r="C123" s="70" t="inlineStr">
        <is>
          <t>E-WS11.2</t>
        </is>
      </c>
      <c r="D123" s="70" t="inlineStr">
        <is>
          <t>Pricing</t>
        </is>
      </c>
      <c r="E123" s="70" t="inlineStr">
        <is>
          <t>Bulk pricing displayed online to unauthenticated visitor — prompts loyalty enrollment for redemption</t>
        </is>
      </c>
      <c r="F123" s="70" t="inlineStr">
        <is>
          <t>Online product / category pages may surface bulk pricing publicly to drive awareness and signups; redemption requires authenticated PRO session.</t>
        </is>
      </c>
      <c r="G123" s="70" t="inlineStr">
        <is>
          <t>PR-BP-6</t>
        </is>
      </c>
      <c r="H123" s="70" t="inlineStr">
        <is>
          <t>AC: [Author TBD] Write Given/When/Then for happy path + edge cases.
    - Happy path: …
    - Edge case 1: …
    - Edge case 2: …
Definition of Ready: at least 2 ACs written and 0 unresolved Decision Log items.</t>
        </is>
      </c>
      <c r="I123" s="70" t="n"/>
      <c r="J123" s="70" t="inlineStr">
        <is>
          <t>Full Launch</t>
        </is>
      </c>
      <c r="K123" s="70" t="inlineStr">
        <is>
          <t>System</t>
        </is>
      </c>
      <c r="L123" s="70" t="inlineStr">
        <is>
          <t>No</t>
        </is>
      </c>
      <c r="M123" s="70" t="n"/>
      <c r="N123" s="70" t="inlineStr">
        <is>
          <t>Not Started</t>
        </is>
      </c>
      <c r="O123" s="70" t="n"/>
    </row>
    <row r="124">
      <c r="A124" s="70" t="n">
        <v>231</v>
      </c>
      <c r="B124" s="70" t="inlineStr">
        <is>
          <t>WS4 — WS 4: Program Configuration &amp; Business Rules</t>
        </is>
      </c>
      <c r="C124" s="70" t="inlineStr">
        <is>
          <t>E-WS4.1</t>
        </is>
      </c>
      <c r="D124" s="70" t="inlineStr">
        <is>
          <t>Pricing</t>
        </is>
      </c>
      <c r="E124" s="70" t="inlineStr">
        <is>
          <t>Bulk pricing rule update propagated to POS, eComm, and PRO app</t>
        </is>
      </c>
      <c r="F124" s="70" t="inlineStr">
        <is>
          <t>Pricing system updates to eligible SKUs, quantity thresholds, and pricing tiers are propagated to POS, eCommerce, and PRO app in a timely manner.</t>
        </is>
      </c>
      <c r="G124" s="70" t="inlineStr">
        <is>
          <t>PR-BP-7</t>
        </is>
      </c>
      <c r="H124" s="70" t="inlineStr">
        <is>
          <t>AC: [Author TBD] Write Given/When/Then for happy path + edge cases.
    - Happy path: …
    - Edge case 1: …
    - Edge case 2: …
Definition of Ready: at least 2 ACs written and 0 unresolved Decision Log items.</t>
        </is>
      </c>
      <c r="I124" s="70" t="inlineStr">
        <is>
          <t>Owned by merchandising; configuration UI for Price Execution team.</t>
        </is>
      </c>
      <c r="J124" s="70" t="inlineStr">
        <is>
          <t>Full Launch</t>
        </is>
      </c>
      <c r="K124" s="70" t="inlineStr">
        <is>
          <t>System</t>
        </is>
      </c>
      <c r="L124" s="70" t="inlineStr">
        <is>
          <t>No</t>
        </is>
      </c>
      <c r="M124" s="70" t="n"/>
      <c r="N124" s="70" t="inlineStr">
        <is>
          <t>Not Started</t>
        </is>
      </c>
      <c r="O124" s="70" t="n"/>
    </row>
    <row r="125">
      <c r="A125" s="70" t="n">
        <v>232</v>
      </c>
      <c r="B125" s="70" t="inlineStr">
        <is>
          <t>WS15 — WS 15: Store Operations &amp; Training</t>
        </is>
      </c>
      <c r="C125" s="70" t="inlineStr">
        <is>
          <t>E-WS15.2</t>
        </is>
      </c>
      <c r="D125" s="70" t="inlineStr">
        <is>
          <t>Store Operations</t>
        </is>
      </c>
      <c r="E125" s="70" t="inlineStr">
        <is>
          <t>Associate refers PRO to Customer Care for non-self-service updates</t>
        </is>
      </c>
      <c r="F125" s="70" t="inlineStr">
        <is>
          <t>When self-service in PRO app is unavailable, associate refers PRO to Customer Care per documented script for account updates (delegate add, missing fields, business details).</t>
        </is>
      </c>
      <c r="G125" s="70" t="inlineStr">
        <is>
          <t>SO-AI-6</t>
        </is>
      </c>
      <c r="H125" s="70" t="inlineStr">
        <is>
          <t>AC: [Author TBD] Write Given/When/Then for happy path + edge cases.
    - Happy path: …
    - Edge case 1: …
    - Edge case 2: …
Definition of Ready: at least 2 ACs written and 0 unresolved Decision Log items.</t>
        </is>
      </c>
      <c r="I125" s="70" t="n"/>
      <c r="J125" s="70" t="inlineStr">
        <is>
          <t>Beta</t>
        </is>
      </c>
      <c r="K125" s="70" t="inlineStr">
        <is>
          <t>Relationship</t>
        </is>
      </c>
      <c r="L125" s="70" t="inlineStr">
        <is>
          <t>No</t>
        </is>
      </c>
      <c r="M125" s="70" t="n"/>
      <c r="N125" s="70" t="inlineStr">
        <is>
          <t>Not Started</t>
        </is>
      </c>
      <c r="O125" s="70" t="n"/>
    </row>
    <row r="126">
      <c r="A126" s="70" t="n">
        <v>233</v>
      </c>
      <c r="B126" s="70" t="inlineStr">
        <is>
          <t>WS15 — WS 15: Store Operations &amp; Training</t>
        </is>
      </c>
      <c r="C126" s="70" t="inlineStr">
        <is>
          <t>E-WS15.2</t>
        </is>
      </c>
      <c r="D126" s="70" t="inlineStr">
        <is>
          <t>Store Operations</t>
        </is>
      </c>
      <c r="E126" s="70" t="inlineStr">
        <is>
          <t>Associate prompts PRO with incomplete profile to complete in PRO app or via Customer Care</t>
        </is>
      </c>
      <c r="F126" s="70" t="inlineStr">
        <is>
          <t>Associates surface missing or outdated account info during interactions and direct PROs to the appropriate channel for updates. Associates do not directly input information.</t>
        </is>
      </c>
      <c r="G126" s="70" t="inlineStr">
        <is>
          <t>MC-TRN-7, SO-AI-6</t>
        </is>
      </c>
      <c r="H126" s="70" t="inlineStr">
        <is>
          <t>AC: [Author TBD] Write Given/When/Then for happy path + edge cases.
    - Happy path: …
    - Edge case 1: …
    - Edge case 2: …
Definition of Ready: at least 2 ACs written and 0 unresolved Decision Log items.</t>
        </is>
      </c>
      <c r="I126" s="70" t="n"/>
      <c r="J126" s="70" t="inlineStr">
        <is>
          <t>Beta</t>
        </is>
      </c>
      <c r="K126" s="70" t="inlineStr">
        <is>
          <t>Relationship</t>
        </is>
      </c>
      <c r="L126" s="70" t="inlineStr">
        <is>
          <t>No</t>
        </is>
      </c>
      <c r="M126" s="70" t="n"/>
      <c r="N126" s="70" t="inlineStr">
        <is>
          <t>Not Started</t>
        </is>
      </c>
      <c r="O126" s="70" t="n"/>
    </row>
    <row r="127">
      <c r="A127" s="70" t="n">
        <v>234</v>
      </c>
      <c r="B127" s="70" t="inlineStr">
        <is>
          <t>WS11 — WS 11: E-commerce Web</t>
        </is>
      </c>
      <c r="C127" s="70" t="inlineStr">
        <is>
          <t>E-WS11.3</t>
        </is>
      </c>
      <c r="D127" s="70" t="inlineStr">
        <is>
          <t>eCommerce</t>
        </is>
      </c>
      <c r="E127" s="70" t="inlineStr">
        <is>
          <t>Online cart hits $5K — bid room engagement prompt shown to PRO</t>
        </is>
      </c>
      <c r="F127" s="70" t="inlineStr">
        <is>
          <t>Online cart value crossing $5K surfaces a banner / prompt that directs the PRO to bid room engagement via existing channels (email / phone).</t>
        </is>
      </c>
      <c r="G127" s="70" t="inlineStr">
        <is>
          <t>PR-BR-2</t>
        </is>
      </c>
      <c r="H127" s="70" t="inlineStr">
        <is>
          <t>AC: [Author TBD] Write Given/When/Then for happy path + edge cases.
    - Happy path: …
    - Edge case 1: …
    - Edge case 2: …
Definition of Ready: at least 2 ACs written and 0 unresolved Decision Log items.</t>
        </is>
      </c>
      <c r="I127" s="70" t="n"/>
      <c r="J127" s="70" t="inlineStr">
        <is>
          <t>Full Launch</t>
        </is>
      </c>
      <c r="K127" s="70" t="inlineStr">
        <is>
          <t>System</t>
        </is>
      </c>
      <c r="L127" s="70" t="inlineStr">
        <is>
          <t>No</t>
        </is>
      </c>
      <c r="M127" s="70" t="n"/>
      <c r="N127" s="70" t="inlineStr">
        <is>
          <t>Not Started</t>
        </is>
      </c>
      <c r="O127" s="70" t="n"/>
    </row>
    <row r="128">
      <c r="A128" s="70" t="n">
        <v>235</v>
      </c>
      <c r="B128" s="70" t="inlineStr">
        <is>
          <t>WS11 — WS 11: E-commerce Web</t>
        </is>
      </c>
      <c r="C128" s="70" t="inlineStr">
        <is>
          <t>E-WS11.2</t>
        </is>
      </c>
      <c r="D128" s="70" t="inlineStr">
        <is>
          <t>eCommerce</t>
        </is>
      </c>
      <c r="E128" s="70" t="inlineStr">
        <is>
          <t>Online checkout enforces PRO login for bulk pricing redemption</t>
        </is>
      </c>
      <c r="F128" s="70" t="inlineStr">
        <is>
          <t>Bulk pricing at online checkout requires authenticated PRO session. Pricing may display unauthenticated but is only applied to authenticated checkouts.</t>
        </is>
      </c>
      <c r="G128" s="70" t="inlineStr">
        <is>
          <t>PR-BP-6</t>
        </is>
      </c>
      <c r="H128" s="70" t="inlineStr">
        <is>
          <t>AC: [Author TBD] Write Given/When/Then for happy path + edge cases.
    - Happy path: …
    - Edge case 1: …
    - Edge case 2: …
Definition of Ready: at least 2 ACs written and 0 unresolved Decision Log items.</t>
        </is>
      </c>
      <c r="I128" s="70" t="n"/>
      <c r="J128" s="70" t="inlineStr">
        <is>
          <t>Full Launch</t>
        </is>
      </c>
      <c r="K128" s="70" t="inlineStr">
        <is>
          <t>System</t>
        </is>
      </c>
      <c r="L128" s="70" t="inlineStr">
        <is>
          <t>Yes</t>
        </is>
      </c>
      <c r="M128" s="70" t="n"/>
      <c r="N128" s="70" t="inlineStr">
        <is>
          <t>Not Started</t>
        </is>
      </c>
      <c r="O128" s="70" t="n"/>
    </row>
    <row r="129">
      <c r="A129" s="70" t="n">
        <v>236</v>
      </c>
      <c r="B129" s="70" t="inlineStr">
        <is>
          <t>FD — Fraud Detection</t>
        </is>
      </c>
      <c r="C129" s="70" t="inlineStr">
        <is>
          <t>E-FD.1</t>
        </is>
      </c>
      <c r="D129" s="70" t="inlineStr">
        <is>
          <t>Fraud and Compliance</t>
        </is>
      </c>
      <c r="E129" s="70" t="inlineStr">
        <is>
          <t>High-return-rate account flagged for review</t>
        </is>
      </c>
      <c r="F129" s="70" t="inlineStr">
        <is>
          <t>Loyalty engine detects accounts exceeding a defined return-rate threshold and surfaces an alert to internal review queue.</t>
        </is>
      </c>
      <c r="G129" s="70" t="inlineStr">
        <is>
          <t>M-GC-4</t>
        </is>
      </c>
      <c r="H129" s="70" t="inlineStr">
        <is>
          <t>AC: [Author TBD] Write Given/When/Then for happy path + edge cases.
    - Happy path: …
    - Edge case 1: …
    - Edge case 2: …
Definition of Ready: at least 2 ACs written and 0 unresolved Decision Log items.</t>
        </is>
      </c>
      <c r="I129" s="70" t="inlineStr">
        <is>
          <t>Threshold TBD.</t>
        </is>
      </c>
      <c r="J129" s="70" t="inlineStr">
        <is>
          <t>Full Launch</t>
        </is>
      </c>
      <c r="K129" s="70" t="inlineStr">
        <is>
          <t>System</t>
        </is>
      </c>
      <c r="L129" s="70" t="inlineStr">
        <is>
          <t>No</t>
        </is>
      </c>
      <c r="M129" s="70" t="n"/>
      <c r="N129" s="70" t="inlineStr">
        <is>
          <t>Not Started</t>
        </is>
      </c>
      <c r="O129" s="70" t="n"/>
    </row>
    <row r="130">
      <c r="A130" s="70" t="n">
        <v>237</v>
      </c>
      <c r="B130" s="70" t="inlineStr">
        <is>
          <t>FD — Fraud Detection</t>
        </is>
      </c>
      <c r="C130" s="70" t="inlineStr">
        <is>
          <t>E-FD.1</t>
        </is>
      </c>
      <c r="D130" s="70" t="inlineStr">
        <is>
          <t>Fraud and Compliance</t>
        </is>
      </c>
      <c r="E130" s="70" t="inlineStr">
        <is>
          <t>Excessive manual retro-attribution on a single account flagged</t>
        </is>
      </c>
      <c r="F130" s="70" t="inlineStr">
        <is>
          <t>Account exceeding a defined count of manual retro-attribution requests in a window is flagged for internal review to deter abuse.</t>
        </is>
      </c>
      <c r="G130" s="70" t="inlineStr">
        <is>
          <t>E-OA-6</t>
        </is>
      </c>
      <c r="H130" s="70" t="inlineStr">
        <is>
          <t>AC: [Author TBD] Write Given/When/Then for happy path + edge cases.
    - Happy path: …
    - Edge case 1: …
    - Edge case 2: …
Definition of Ready: at least 2 ACs written and 0 unresolved Decision Log items.</t>
        </is>
      </c>
      <c r="I130" s="70" t="inlineStr">
        <is>
          <t>Threshold TBD.</t>
        </is>
      </c>
      <c r="J130" s="70" t="inlineStr">
        <is>
          <t>Full Launch</t>
        </is>
      </c>
      <c r="K130" s="70" t="inlineStr">
        <is>
          <t>System</t>
        </is>
      </c>
      <c r="L130" s="70" t="inlineStr">
        <is>
          <t>No</t>
        </is>
      </c>
      <c r="M130" s="70" t="n"/>
      <c r="N130" s="70" t="inlineStr">
        <is>
          <t>Not Started</t>
        </is>
      </c>
      <c r="O130" s="70" t="n"/>
    </row>
    <row r="131">
      <c r="A131" s="70" t="n">
        <v>238</v>
      </c>
      <c r="B131" s="70" t="inlineStr">
        <is>
          <t>WS17 — WS 17: Security &amp; Identity</t>
        </is>
      </c>
      <c r="C131" s="70" t="inlineStr">
        <is>
          <t>E-WS17.2</t>
        </is>
      </c>
      <c r="D131" s="70" t="inlineStr">
        <is>
          <t>Fraud and Compliance</t>
        </is>
      </c>
      <c r="E131" s="70" t="inlineStr">
        <is>
          <t>SMS consent events retained for regulatory inquiry</t>
        </is>
      </c>
      <c r="F131" s="70" t="inlineStr">
        <is>
          <t>CRM retains all SMS opt-in / opt-out events with timestamps and source, supporting regulatory compliance and dispute response.</t>
        </is>
      </c>
      <c r="G131" s="70" t="inlineStr">
        <is>
          <t>MC-TMI-1</t>
        </is>
      </c>
      <c r="H131" s="70" t="inlineStr">
        <is>
          <t>AC: [Author TBD] Write Given/When/Then for happy path + edge cases.
    - Happy path: …
    - Edge case 1: …
    - Edge case 2: …
Definition of Ready: at least 2 ACs written and 0 unresolved Decision Log items.</t>
        </is>
      </c>
      <c r="I131" s="70" t="n"/>
      <c r="J131" s="70" t="inlineStr">
        <is>
          <t>Beta</t>
        </is>
      </c>
      <c r="K131" s="70" t="inlineStr">
        <is>
          <t>System</t>
        </is>
      </c>
      <c r="L131" s="70" t="inlineStr">
        <is>
          <t>No</t>
        </is>
      </c>
      <c r="M131" s="70" t="n"/>
      <c r="N131" s="70" t="inlineStr">
        <is>
          <t>Not Started</t>
        </is>
      </c>
      <c r="O131" s="70" t="n"/>
    </row>
    <row r="132">
      <c r="A132" s="70" t="n">
        <v>239</v>
      </c>
      <c r="B132" s="70" t="inlineStr">
        <is>
          <t>FD — Fraud Detection</t>
        </is>
      </c>
      <c r="C132" s="70" t="inlineStr">
        <is>
          <t>E-FD.1</t>
        </is>
      </c>
      <c r="D132" s="70" t="inlineStr">
        <is>
          <t>Fraud and Compliance</t>
        </is>
      </c>
      <c r="E132" s="70" t="inlineStr">
        <is>
          <t>Repeated threshold-edge transactions flagged for review</t>
        </is>
      </c>
      <c r="F132" s="70" t="inlineStr">
        <is>
          <t>Loyalty engine detects patterns of transactions hitting exactly $1K (or just above) thresholds repeatedly and flags for review.</t>
        </is>
      </c>
      <c r="G132" s="70" t="inlineStr">
        <is>
          <t>M-GC-4</t>
        </is>
      </c>
      <c r="H132" s="70" t="inlineStr">
        <is>
          <t>AC: [Author TBD] Write Given/When/Then for happy path + edge cases.
    - Happy path: …
    - Edge case 1: …
    - Edge case 2: …
Definition of Ready: at least 2 ACs written and 0 unresolved Decision Log items.</t>
        </is>
      </c>
      <c r="I132" s="70" t="inlineStr">
        <is>
          <t>Pattern definition TBD.</t>
        </is>
      </c>
      <c r="J132" s="70" t="inlineStr">
        <is>
          <t>Full Launch</t>
        </is>
      </c>
      <c r="K132" s="70" t="inlineStr">
        <is>
          <t>System</t>
        </is>
      </c>
      <c r="L132" s="70" t="inlineStr">
        <is>
          <t>No</t>
        </is>
      </c>
      <c r="M132" s="70" t="n"/>
      <c r="N132" s="70" t="inlineStr">
        <is>
          <t>Not Started</t>
        </is>
      </c>
      <c r="O132" s="70" t="n"/>
    </row>
    <row r="133">
      <c r="A133" s="70" t="n">
        <v>240</v>
      </c>
      <c r="B133" s="70" t="inlineStr">
        <is>
          <t>WS9 — WS 9: Finance &amp; Oracle ERP Integration</t>
        </is>
      </c>
      <c r="C133" s="70" t="inlineStr">
        <is>
          <t>E-WS9.3</t>
        </is>
      </c>
      <c r="D133" s="70" t="inlineStr">
        <is>
          <t>Fraud and Compliance</t>
        </is>
      </c>
      <c r="E133" s="70" t="inlineStr">
        <is>
          <t>Full F&amp;D Bucks lifecycle traceability for SOX audit on any account</t>
        </is>
      </c>
      <c r="F133" s="70" t="inlineStr">
        <is>
          <t>On-demand query returns full lifecycle (issued, modified, redeemed, expired, reinstated) for F&amp;D Bucks attributable to a given account with timestamps and actors.</t>
        </is>
      </c>
      <c r="G133" s="70" t="inlineStr">
        <is>
          <t>FA-ACT-4, FA-ACT-6</t>
        </is>
      </c>
      <c r="H133" s="70" t="inlineStr">
        <is>
          <t>AC: [Author TBD] Write Given/When/Then for happy path + edge cases.
    - Happy path: …
    - Edge case 1: …
    - Edge case 2: …
Definition of Ready: at least 2 ACs written and 0 unresolved Decision Log items.</t>
        </is>
      </c>
      <c r="I133" s="70" t="inlineStr">
        <is>
          <t>Existing UC #103 covers financial award lifecycle generally; this extends to F&amp;D Bucks reinstatement and redemption events.</t>
        </is>
      </c>
      <c r="J133" s="70" t="inlineStr">
        <is>
          <t>Full Launch</t>
        </is>
      </c>
      <c r="K133" s="70" t="inlineStr">
        <is>
          <t>System</t>
        </is>
      </c>
      <c r="L133" s="70" t="inlineStr">
        <is>
          <t>No</t>
        </is>
      </c>
      <c r="M133" s="70" t="n"/>
      <c r="N133" s="70" t="inlineStr">
        <is>
          <t>Not Started</t>
        </is>
      </c>
      <c r="O133" s="7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45" customWidth="1" min="3" max="3"/>
    <col width="70" customWidth="1" min="4" max="4"/>
    <col width="12" customWidth="1" min="5" max="5"/>
    <col width="48" customWidth="1" min="6" max="6"/>
    <col width="14" customWidth="1" min="7" max="7"/>
  </cols>
  <sheetData>
    <row r="1">
      <c r="A1" s="77" t="inlineStr">
        <is>
          <t>Epic ID</t>
        </is>
      </c>
      <c r="B1" s="77" t="inlineStr">
        <is>
          <t>Workstream</t>
        </is>
      </c>
      <c r="C1" s="77" t="inlineStr">
        <is>
          <t>Epic Name</t>
        </is>
      </c>
      <c r="D1" s="77" t="inlineStr">
        <is>
          <t>Description</t>
        </is>
      </c>
      <c r="E1" s="77" t="inlineStr">
        <is>
          <t># Use Cases</t>
        </is>
      </c>
      <c r="F1" s="77" t="inlineStr">
        <is>
          <t>Use Case IDs</t>
        </is>
      </c>
      <c r="G1" s="77" t="inlineStr">
        <is>
          <t>Status</t>
        </is>
      </c>
    </row>
    <row r="2">
      <c r="A2" s="70" t="inlineStr">
        <is>
          <t>E-WS1.1</t>
        </is>
      </c>
      <c r="B2" s="70" t="inlineStr">
        <is>
          <t>WS1 — WS 1: Core Loyalty Engine — Member, Tier &amp; Ledger</t>
        </is>
      </c>
      <c r="C2" s="70" t="inlineStr">
        <is>
          <t>Member account model &amp; lifecycle</t>
        </is>
      </c>
      <c r="D2" s="70" t="inlineStr">
        <is>
          <t>Account creation, primary/delegate role, lifecycle states (active, deactivated, merged).</t>
        </is>
      </c>
      <c r="E2" s="70" t="n">
        <v>0</v>
      </c>
      <c r="F2" s="70" t="inlineStr"/>
      <c r="G2" s="70" t="inlineStr">
        <is>
          <t>Not Started</t>
        </is>
      </c>
    </row>
    <row r="3">
      <c r="A3" s="70" t="inlineStr">
        <is>
          <t>E-WS1.2</t>
        </is>
      </c>
      <c r="B3" s="70" t="inlineStr">
        <is>
          <t>WS1 — WS 1: Core Loyalty Engine — Member, Tier &amp; Ledger</t>
        </is>
      </c>
      <c r="C3" s="70" t="inlineStr">
        <is>
          <t>Tier qualification &amp; evaluation</t>
        </is>
      </c>
      <c r="D3" s="70" t="inlineStr">
        <is>
          <t>Cumulative spend tracking, threshold evaluation, real-time tier assignment.</t>
        </is>
      </c>
      <c r="E3" s="70" t="n">
        <v>3</v>
      </c>
      <c r="F3" s="70" t="inlineStr">
        <is>
          <t>2, 90, 94</t>
        </is>
      </c>
      <c r="G3" s="70" t="inlineStr">
        <is>
          <t>Not Started</t>
        </is>
      </c>
    </row>
    <row r="4">
      <c r="A4" s="70" t="inlineStr">
        <is>
          <t>E-WS1.3</t>
        </is>
      </c>
      <c r="B4" s="70" t="inlineStr">
        <is>
          <t>WS1 — WS 1: Core Loyalty Engine — Member, Tier &amp; Ledger</t>
        </is>
      </c>
      <c r="C4" s="70" t="inlineStr">
        <is>
          <t>Tier transitions (upgrade / downgrade / skip)</t>
        </is>
      </c>
      <c r="D4" s="70" t="inlineStr">
        <is>
          <t>Tier transitions including same-transaction tier-skip; spend allocation across bands.</t>
        </is>
      </c>
      <c r="E4" s="70" t="n">
        <v>6</v>
      </c>
      <c r="F4" s="70" t="inlineStr">
        <is>
          <t>3, 11, 12, 126, 131, 194</t>
        </is>
      </c>
      <c r="G4" s="70" t="inlineStr">
        <is>
          <t>Not Started</t>
        </is>
      </c>
    </row>
    <row r="5">
      <c r="A5" s="70" t="inlineStr">
        <is>
          <t>E-WS1.4</t>
        </is>
      </c>
      <c r="B5" s="70" t="inlineStr">
        <is>
          <t>WS1 — WS 1: Core Loyalty Engine — Member, Tier &amp; Ledger</t>
        </is>
      </c>
      <c r="C5" s="70" t="inlineStr">
        <is>
          <t>Consumption event ledger &amp; audit</t>
        </is>
      </c>
      <c r="D5" s="70" t="inlineStr">
        <is>
          <t>Append-only ledger, time-travel queries, projection rebuild from log.</t>
        </is>
      </c>
      <c r="E5" s="70" t="n">
        <v>3</v>
      </c>
      <c r="F5" s="70" t="inlineStr">
        <is>
          <t>36, 48, 52</t>
        </is>
      </c>
      <c r="G5" s="70" t="inlineStr">
        <is>
          <t>Not Started</t>
        </is>
      </c>
    </row>
    <row r="6">
      <c r="A6" s="70" t="inlineStr">
        <is>
          <t>E-WS2.1</t>
        </is>
      </c>
      <c r="B6" s="70" t="inlineStr">
        <is>
          <t>WS2 — WS 2: Financial Awards &amp; Rewards</t>
        </is>
      </c>
      <c r="C6" s="70" t="inlineStr">
        <is>
          <t>F&amp;D Bucks issuance</t>
        </is>
      </c>
      <c r="D6" s="70" t="inlineStr">
        <is>
          <t>Threshold-based issuance at tier rate; multi-threshold atomic issuance.</t>
        </is>
      </c>
      <c r="E6" s="70" t="n">
        <v>3</v>
      </c>
      <c r="F6" s="70" t="inlineStr">
        <is>
          <t>1, 125, 130</t>
        </is>
      </c>
      <c r="G6" s="70" t="inlineStr">
        <is>
          <t>Not Started</t>
        </is>
      </c>
    </row>
    <row r="7">
      <c r="A7" s="70" t="inlineStr">
        <is>
          <t>E-WS2.2</t>
        </is>
      </c>
      <c r="B7" s="70" t="inlineStr">
        <is>
          <t>WS2 — WS 2: Financial Awards &amp; Rewards</t>
        </is>
      </c>
      <c r="C7" s="70" t="inlineStr">
        <is>
          <t>F&amp;D Bucks redemption</t>
        </is>
      </c>
      <c r="D7" s="70" t="inlineStr">
        <is>
          <t>FIFO redemption, exclusion rules (no gift cards), real-time balance updates.</t>
        </is>
      </c>
      <c r="E7" s="70" t="n">
        <v>5</v>
      </c>
      <c r="F7" s="70" t="inlineStr">
        <is>
          <t>16, 42, 57, 139, 140</t>
        </is>
      </c>
      <c r="G7" s="70" t="inlineStr">
        <is>
          <t>Not Started</t>
        </is>
      </c>
    </row>
    <row r="8">
      <c r="A8" s="70" t="inlineStr">
        <is>
          <t>E-WS2.3</t>
        </is>
      </c>
      <c r="B8" s="70" t="inlineStr">
        <is>
          <t>WS2 — WS 2: Financial Awards &amp; Rewards</t>
        </is>
      </c>
      <c r="C8" s="70" t="inlineStr">
        <is>
          <t>F&amp;D Bucks lifecycle (expiry / voids / reinstatement)</t>
        </is>
      </c>
      <c r="D8" s="70" t="inlineStr">
        <is>
          <t>Expiry policy, return-driven void, admin reinstatement override.</t>
        </is>
      </c>
      <c r="E8" s="70" t="n">
        <v>4</v>
      </c>
      <c r="F8" s="70" t="inlineStr">
        <is>
          <t>17, 43, 60, 141</t>
        </is>
      </c>
      <c r="G8" s="70" t="inlineStr">
        <is>
          <t>Not Started</t>
        </is>
      </c>
    </row>
    <row r="9">
      <c r="A9" s="70" t="inlineStr">
        <is>
          <t>E-WS2.4</t>
        </is>
      </c>
      <c r="B9" s="70" t="inlineStr">
        <is>
          <t>WS2 — WS 2: Financial Awards &amp; Rewards</t>
        </is>
      </c>
      <c r="C9" s="70" t="inlineStr">
        <is>
          <t>Rebate accrual &amp; calculation</t>
        </is>
      </c>
      <c r="D9" s="70" t="inlineStr">
        <is>
          <t>Tier-based rebate rate, semi-annual period close, sub-minimum rollover.</t>
        </is>
      </c>
      <c r="E9" s="70" t="n">
        <v>5</v>
      </c>
      <c r="F9" s="70" t="inlineStr">
        <is>
          <t>134, 135, 137, 196, 199</t>
        </is>
      </c>
      <c r="G9" s="70" t="inlineStr">
        <is>
          <t>Not Started</t>
        </is>
      </c>
    </row>
    <row r="10">
      <c r="A10" s="70" t="inlineStr">
        <is>
          <t>E-WS2.5</t>
        </is>
      </c>
      <c r="B10" s="70" t="inlineStr">
        <is>
          <t>WS2 — WS 2: Financial Awards &amp; Rewards</t>
        </is>
      </c>
      <c r="C10" s="70" t="inlineStr">
        <is>
          <t>Rebate payout &amp; disbursement integration</t>
        </is>
      </c>
      <c r="D10" s="70" t="inlineStr">
        <is>
          <t>Payment file generation, 3rd-party check writer integration, failure/forfeiture flow.</t>
        </is>
      </c>
      <c r="E10" s="70" t="n">
        <v>0</v>
      </c>
      <c r="F10" s="70" t="inlineStr"/>
      <c r="G10" s="70" t="inlineStr">
        <is>
          <t>Not Started</t>
        </is>
      </c>
    </row>
    <row r="11">
      <c r="A11" s="70" t="inlineStr">
        <is>
          <t>E-WS2.6</t>
        </is>
      </c>
      <c r="B11" s="70" t="inlineStr">
        <is>
          <t>WS2 — WS 2: Financial Awards &amp; Rewards</t>
        </is>
      </c>
      <c r="C11" s="70" t="inlineStr">
        <is>
          <t>Reward type selection (choice benefit)</t>
        </is>
      </c>
      <c r="D11" s="70" t="inlineStr">
        <is>
          <t>Initial Gold/Platinum selection, annual re-election, default-to-Bucks if no selection.</t>
        </is>
      </c>
      <c r="E11" s="70" t="n">
        <v>4</v>
      </c>
      <c r="F11" s="70" t="inlineStr">
        <is>
          <t>54, 55, 193, 195</t>
        </is>
      </c>
      <c r="G11" s="70" t="inlineStr">
        <is>
          <t>Not Started</t>
        </is>
      </c>
    </row>
    <row r="12">
      <c r="A12" s="70" t="inlineStr">
        <is>
          <t>E-WS3.1</t>
        </is>
      </c>
      <c r="B12" s="70" t="inlineStr">
        <is>
          <t>WS3 — WS 3: Transaction &amp; Spend Ingestion</t>
        </is>
      </c>
      <c r="C12" s="70" t="inlineStr">
        <is>
          <t>Eligible-spend calculation</t>
        </is>
      </c>
      <c r="D12" s="70" t="inlineStr">
        <is>
          <t>Net eligible spend rules: exclude tax, gift cards, BIY-as-defined.</t>
        </is>
      </c>
      <c r="E12" s="70" t="n">
        <v>4</v>
      </c>
      <c r="F12" s="70" t="inlineStr">
        <is>
          <t>58, 127, 128, 133</t>
        </is>
      </c>
      <c r="G12" s="70" t="inlineStr">
        <is>
          <t>Not Started</t>
        </is>
      </c>
    </row>
    <row r="13">
      <c r="A13" s="70" t="inlineStr">
        <is>
          <t>E-WS3.2</t>
        </is>
      </c>
      <c r="B13" s="70" t="inlineStr">
        <is>
          <t>WS3 — WS 3: Transaction &amp; Spend Ingestion</t>
        </is>
      </c>
      <c r="C13" s="70" t="inlineStr">
        <is>
          <t>Transaction attribution &amp; cross-channel rollup</t>
        </is>
      </c>
      <c r="D13" s="70" t="inlineStr">
        <is>
          <t>Account-level rollup across in-store, app, and web channels.</t>
        </is>
      </c>
      <c r="E13" s="70" t="n">
        <v>1</v>
      </c>
      <c r="F13" s="70" t="inlineStr">
        <is>
          <t>93</t>
        </is>
      </c>
      <c r="G13" s="70" t="inlineStr">
        <is>
          <t>Not Started</t>
        </is>
      </c>
    </row>
    <row r="14">
      <c r="A14" s="70" t="inlineStr">
        <is>
          <t>E-WS3.3</t>
        </is>
      </c>
      <c r="B14" s="70" t="inlineStr">
        <is>
          <t>WS3 — WS 3: Transaction &amp; Spend Ingestion</t>
        </is>
      </c>
      <c r="C14" s="70" t="inlineStr">
        <is>
          <t>Retroactive attribution &amp; correction</t>
        </is>
      </c>
      <c r="D14" s="70" t="inlineStr">
        <is>
          <t>Receipt-barcode retro claim, manual approval, mis-attribution reassignment with audit.</t>
        </is>
      </c>
      <c r="E14" s="70" t="n">
        <v>3</v>
      </c>
      <c r="F14" s="70" t="inlineStr">
        <is>
          <t>5, 92, 188</t>
        </is>
      </c>
      <c r="G14" s="70" t="inlineStr">
        <is>
          <t>Not Started</t>
        </is>
      </c>
    </row>
    <row r="15">
      <c r="A15" s="70" t="inlineStr">
        <is>
          <t>E-WS3.4</t>
        </is>
      </c>
      <c r="B15" s="70" t="inlineStr">
        <is>
          <t>WS3 — WS 3: Transaction &amp; Spend Ingestion</t>
        </is>
      </c>
      <c r="C15" s="70" t="inlineStr">
        <is>
          <t>Transaction reversal (returns / voids)</t>
        </is>
      </c>
      <c r="D15" s="70" t="inlineStr">
        <is>
          <t>Return handling for accrual + bucks; multi-tender return priority; post-void reversal.</t>
        </is>
      </c>
      <c r="E15" s="70" t="n">
        <v>5</v>
      </c>
      <c r="F15" s="70" t="inlineStr">
        <is>
          <t>4, 98, 129, 142, 143</t>
        </is>
      </c>
      <c r="G15" s="70" t="inlineStr">
        <is>
          <t>Not Started</t>
        </is>
      </c>
    </row>
    <row r="16">
      <c r="A16" s="70" t="inlineStr">
        <is>
          <t>E-WS4.1</t>
        </is>
      </c>
      <c r="B16" s="70" t="inlineStr">
        <is>
          <t>WS4 — WS 4: Program Configuration &amp; Business Rules</t>
        </is>
      </c>
      <c r="C16" s="70" t="inlineStr">
        <is>
          <t>Rule lifecycle &amp; projection</t>
        </is>
      </c>
      <c r="D16" s="70" t="inlineStr">
        <is>
          <t>Rule create/review/activate/retire; bulk re-projection after change.</t>
        </is>
      </c>
      <c r="E16" s="70" t="n">
        <v>8</v>
      </c>
      <c r="F16" s="70" t="inlineStr">
        <is>
          <t>9, 49, 50, 51, 88, 187, 198, 231</t>
        </is>
      </c>
      <c r="G16" s="70" t="inlineStr">
        <is>
          <t>Not Started</t>
        </is>
      </c>
    </row>
    <row r="17">
      <c r="A17" s="70" t="inlineStr">
        <is>
          <t>E-WS4.2</t>
        </is>
      </c>
      <c r="B17" s="70" t="inlineStr">
        <is>
          <t>WS4 — WS 4: Program Configuration &amp; Business Rules</t>
        </is>
      </c>
      <c r="C17" s="70" t="inlineStr">
        <is>
          <t>Benefit catalog &amp; manual benefit issuance</t>
        </is>
      </c>
      <c r="D17" s="70" t="inlineStr">
        <is>
          <t>Benefit type catalog, admin-issued benefits, default permission scaffolding.</t>
        </is>
      </c>
      <c r="E17" s="70" t="n">
        <v>2</v>
      </c>
      <c r="F17" s="70" t="inlineStr">
        <is>
          <t>10, 13</t>
        </is>
      </c>
      <c r="G17" s="70" t="inlineStr">
        <is>
          <t>Not Started</t>
        </is>
      </c>
    </row>
    <row r="18">
      <c r="A18" s="70" t="inlineStr">
        <is>
          <t>E-WS5.1</t>
        </is>
      </c>
      <c r="B18" s="70" t="inlineStr">
        <is>
          <t>WS5 — WS 5: Offers &amp; Benefit Fulfillment (Delivery, Samples, Bid Room)</t>
        </is>
      </c>
      <c r="C18" s="70" t="inlineStr">
        <is>
          <t>Free delivery — eligibility &amp; enforcement</t>
        </is>
      </c>
      <c r="D18" s="70" t="inlineStr">
        <is>
          <t>Tier + $2K threshold, counter, gift-card exclusion, edit/return drops eligibility.</t>
        </is>
      </c>
      <c r="E18" s="70" t="n">
        <v>10</v>
      </c>
      <c r="F18" s="70" t="inlineStr">
        <is>
          <t>62, 63, 64, 82, 112, 113, 114, 115, 116, 119</t>
        </is>
      </c>
      <c r="G18" s="70" t="inlineStr">
        <is>
          <t>Not Started</t>
        </is>
      </c>
    </row>
    <row r="19">
      <c r="A19" s="70" t="inlineStr">
        <is>
          <t>E-WS5.2</t>
        </is>
      </c>
      <c r="B19" s="70" t="inlineStr">
        <is>
          <t>WS5 — WS 5: Offers &amp; Benefit Fulfillment (Delivery, Samples, Bid Room)</t>
        </is>
      </c>
      <c r="C19" s="70" t="inlineStr">
        <is>
          <t>Free delivery — fulfillment integration</t>
        </is>
      </c>
      <c r="D19" s="70" t="inlineStr">
        <is>
          <t>60-mile radius, cross-store/DC sourcing, 7-day SLA, premium service post-launch.</t>
        </is>
      </c>
      <c r="E19" s="70" t="n">
        <v>6</v>
      </c>
      <c r="F19" s="70" t="inlineStr">
        <is>
          <t>117, 118, 120, 121, 123, 124</t>
        </is>
      </c>
      <c r="G19" s="70" t="inlineStr">
        <is>
          <t>Not Started</t>
        </is>
      </c>
    </row>
    <row r="20">
      <c r="A20" s="70" t="inlineStr">
        <is>
          <t>E-WS5.3</t>
        </is>
      </c>
      <c r="B20" s="70" t="inlineStr">
        <is>
          <t>WS5 — WS 5: Offers &amp; Benefit Fulfillment (Delivery, Samples, Bid Room)</t>
        </is>
      </c>
      <c r="C20" s="70" t="inlineStr">
        <is>
          <t>Samples benefit</t>
        </is>
      </c>
      <c r="D20" s="70" t="inlineStr">
        <is>
          <t>Tier-based allotment, eligibility validation, SKU-level tracking, existing fulfillment center.</t>
        </is>
      </c>
      <c r="E20" s="70" t="n">
        <v>8</v>
      </c>
      <c r="F20" s="70" t="inlineStr">
        <is>
          <t>8, 18, 79, 80, 81, 83, 84, 185</t>
        </is>
      </c>
      <c r="G20" s="70" t="inlineStr">
        <is>
          <t>Not Started</t>
        </is>
      </c>
    </row>
    <row r="21">
      <c r="A21" s="70" t="inlineStr">
        <is>
          <t>E-WS5.4</t>
        </is>
      </c>
      <c r="B21" s="70" t="inlineStr">
        <is>
          <t>WS5 — WS 5: Offers &amp; Benefit Fulfillment (Delivery, Samples, Bid Room)</t>
        </is>
      </c>
      <c r="C21" s="70" t="inlineStr">
        <is>
          <t>Bid room workflow</t>
        </is>
      </c>
      <c r="D21" s="70" t="inlineStr">
        <is>
          <t>$5K eligibility identification, manual engagement, MD-code tracking, Silver auto-tier.</t>
        </is>
      </c>
      <c r="E21" s="70" t="n">
        <v>0</v>
      </c>
      <c r="F21" s="70" t="inlineStr"/>
      <c r="G21" s="70" t="inlineStr">
        <is>
          <t>Not Started</t>
        </is>
      </c>
    </row>
    <row r="22">
      <c r="A22" s="70" t="inlineStr">
        <is>
          <t>E-WS6.1</t>
        </is>
      </c>
      <c r="B22" s="70" t="inlineStr">
        <is>
          <t>WS6 — WS 6: Analytics &amp; KPI</t>
        </is>
      </c>
      <c r="C22" s="70" t="inlineStr">
        <is>
          <t>Finance KPI reporting (P&amp;L, exec, performance)</t>
        </is>
      </c>
      <c r="D22" s="70" t="inlineStr">
        <is>
          <t>Loyalty P&amp;L monthly, exec summary, program performance dashboard.</t>
        </is>
      </c>
      <c r="E22" s="70" t="n">
        <v>4</v>
      </c>
      <c r="F22" s="70" t="inlineStr">
        <is>
          <t>72, 216, 217, 218</t>
        </is>
      </c>
      <c r="G22" s="70" t="inlineStr">
        <is>
          <t>Not Started</t>
        </is>
      </c>
    </row>
    <row r="23">
      <c r="A23" s="70" t="inlineStr">
        <is>
          <t>E-WS6.2</t>
        </is>
      </c>
      <c r="B23" s="70" t="inlineStr">
        <is>
          <t>WS6 — WS 6: Analytics &amp; KPI</t>
        </is>
      </c>
      <c r="C23" s="70" t="inlineStr">
        <is>
          <t>Operational dashboards</t>
        </is>
      </c>
      <c r="D23" s="70" t="inlineStr">
        <is>
          <t>Daily ops health, weekly store scorecard, sample usage, MD-code transaction reports.</t>
        </is>
      </c>
      <c r="E23" s="70" t="n">
        <v>5</v>
      </c>
      <c r="F23" s="70" t="inlineStr">
        <is>
          <t>85, 219, 220, 227, 228</t>
        </is>
      </c>
      <c r="G23" s="70" t="inlineStr">
        <is>
          <t>Not Started</t>
        </is>
      </c>
    </row>
    <row r="24">
      <c r="A24" s="70" t="inlineStr">
        <is>
          <t>E-WS6.3</t>
        </is>
      </c>
      <c r="B24" s="70" t="inlineStr">
        <is>
          <t>WS6 — WS 6: Analytics &amp; KPI</t>
        </is>
      </c>
      <c r="C24" s="70" t="inlineStr">
        <is>
          <t>Breakage &amp; liability reporting</t>
        </is>
      </c>
      <c r="D24" s="70" t="inlineStr">
        <is>
          <t>Monthly breakage inputs, liability movement, actuary-aligned methodology.</t>
        </is>
      </c>
      <c r="E24" s="70" t="n">
        <v>2</v>
      </c>
      <c r="F24" s="70" t="inlineStr">
        <is>
          <t>215, 222</t>
        </is>
      </c>
      <c r="G24" s="70" t="inlineStr">
        <is>
          <t>Not Started</t>
        </is>
      </c>
    </row>
    <row r="25">
      <c r="A25" s="70" t="inlineStr">
        <is>
          <t>E-WS6.4</t>
        </is>
      </c>
      <c r="B25" s="70" t="inlineStr">
        <is>
          <t>WS6 — WS 6: Analytics &amp; KPI</t>
        </is>
      </c>
      <c r="C25" s="70" t="inlineStr">
        <is>
          <t>Marketing / SMS analytics</t>
        </is>
      </c>
      <c r="D25" s="70" t="inlineStr">
        <is>
          <t>Campaign KPIs (audience, engagement, conversion, opt-out).</t>
        </is>
      </c>
      <c r="E25" s="70" t="n">
        <v>1</v>
      </c>
      <c r="F25" s="70" t="inlineStr">
        <is>
          <t>179</t>
        </is>
      </c>
      <c r="G25" s="70" t="inlineStr">
        <is>
          <t>Not Started</t>
        </is>
      </c>
    </row>
    <row r="26">
      <c r="A26" s="70" t="inlineStr">
        <is>
          <t>E-WS6.5</t>
        </is>
      </c>
      <c r="B26" s="70" t="inlineStr">
        <is>
          <t>WS6 — WS 6: Analytics &amp; KPI</t>
        </is>
      </c>
      <c r="C26" s="70" t="inlineStr">
        <is>
          <t>Cohort &amp; incrementality reporting</t>
        </is>
      </c>
      <c r="D26" s="70" t="inlineStr">
        <is>
          <t>Quarterly incrementality, member cohort LTV.</t>
        </is>
      </c>
      <c r="E26" s="70" t="n">
        <v>2</v>
      </c>
      <c r="F26" s="70" t="inlineStr">
        <is>
          <t>221, 223</t>
        </is>
      </c>
      <c r="G26" s="70" t="inlineStr">
        <is>
          <t>Not Started</t>
        </is>
      </c>
    </row>
    <row r="27">
      <c r="A27" s="70" t="inlineStr">
        <is>
          <t>E-WS7.1</t>
        </is>
      </c>
      <c r="B27" s="70" t="inlineStr">
        <is>
          <t>WS7 — WS 7: Integration Service &amp; Event Backbone</t>
        </is>
      </c>
      <c r="C27" s="70" t="inlineStr">
        <is>
          <t>Cross-system sync &amp; event delivery</t>
        </is>
      </c>
      <c r="D27" s="70" t="inlineStr">
        <is>
          <t>Near-real-time balance sync, daily reconciliation, CRM ↔ POS ↔ Loyalty engine flow.</t>
        </is>
      </c>
      <c r="E27" s="70" t="n">
        <v>1</v>
      </c>
      <c r="F27" s="70" t="inlineStr">
        <is>
          <t>144</t>
        </is>
      </c>
      <c r="G27" s="70" t="inlineStr">
        <is>
          <t>Not Started</t>
        </is>
      </c>
    </row>
    <row r="28">
      <c r="A28" s="70" t="inlineStr">
        <is>
          <t>E-WS7.2</t>
        </is>
      </c>
      <c r="B28" s="70" t="inlineStr">
        <is>
          <t>WS7 — WS 7: Integration Service &amp; Event Backbone</t>
        </is>
      </c>
      <c r="C28" s="70" t="inlineStr">
        <is>
          <t>Graceful degradation &amp; fallback</t>
        </is>
      </c>
      <c r="D28" s="70" t="inlineStr">
        <is>
          <t>Behavior when loyalty-benefits / fnd-identity / downstream services are unavailable.</t>
        </is>
      </c>
      <c r="E28" s="70" t="n">
        <v>2</v>
      </c>
      <c r="F28" s="70" t="inlineStr">
        <is>
          <t>39, 40</t>
        </is>
      </c>
      <c r="G28" s="70" t="inlineStr">
        <is>
          <t>Not Started</t>
        </is>
      </c>
    </row>
    <row r="29">
      <c r="A29" s="70" t="inlineStr">
        <is>
          <t>E-WS7.3</t>
        </is>
      </c>
      <c r="B29" s="70" t="inlineStr">
        <is>
          <t>WS7 — WS 7: Integration Service &amp; Event Backbone</t>
        </is>
      </c>
      <c r="C29" s="70" t="inlineStr">
        <is>
          <t>Idempotency &amp; duplicate event handling</t>
        </is>
      </c>
      <c r="D29" s="70" t="inlineStr">
        <is>
          <t>Network retry, duplicate consumption events, exactly-once semantics.</t>
        </is>
      </c>
      <c r="E29" s="70" t="n">
        <v>1</v>
      </c>
      <c r="F29" s="70" t="inlineStr">
        <is>
          <t>37</t>
        </is>
      </c>
      <c r="G29" s="70" t="inlineStr">
        <is>
          <t>Not Started</t>
        </is>
      </c>
    </row>
    <row r="30">
      <c r="A30" s="70" t="inlineStr">
        <is>
          <t>E-WS8.1</t>
        </is>
      </c>
      <c r="B30" s="70" t="inlineStr">
        <is>
          <t>WS8 — WS 8: CRM Systems Enablement</t>
        </is>
      </c>
      <c r="C30" s="70" t="inlineStr">
        <is>
          <t>Account structure (primary, delegate, multi-account)</t>
        </is>
      </c>
      <c r="D30" s="70" t="inlineStr">
        <is>
          <t>Primary self-id, ownership transfer, multi-account user roles, account deactivation.</t>
        </is>
      </c>
      <c r="E30" s="70" t="n">
        <v>6</v>
      </c>
      <c r="F30" s="70" t="inlineStr">
        <is>
          <t>31, 146, 147, 152, 153, 155</t>
        </is>
      </c>
      <c r="G30" s="70" t="inlineStr">
        <is>
          <t>Not Started</t>
        </is>
      </c>
    </row>
    <row r="31">
      <c r="A31" s="70" t="inlineStr">
        <is>
          <t>E-WS8.2</t>
        </is>
      </c>
      <c r="B31" s="70" t="inlineStr">
        <is>
          <t>WS8 — WS 8: CRM Systems Enablement</t>
        </is>
      </c>
      <c r="C31" s="70" t="inlineStr">
        <is>
          <t>Account onboarding &amp; data capture</t>
        </is>
      </c>
      <c r="D31" s="70" t="inlineStr">
        <is>
          <t>PRO app enrollment, required fields, duplicate detection, incomplete-profile flag.</t>
        </is>
      </c>
      <c r="E31" s="70" t="n">
        <v>7</v>
      </c>
      <c r="F31" s="70" t="inlineStr">
        <is>
          <t>6, 73, 99, 132, 149, 151, 189</t>
        </is>
      </c>
      <c r="G31" s="70" t="inlineStr">
        <is>
          <t>Not Started</t>
        </is>
      </c>
    </row>
    <row r="32">
      <c r="A32" s="70" t="inlineStr">
        <is>
          <t>E-WS8.3</t>
        </is>
      </c>
      <c r="B32" s="70" t="inlineStr">
        <is>
          <t>WS8 — WS 8: CRM Systems Enablement</t>
        </is>
      </c>
      <c r="C32" s="70" t="inlineStr">
        <is>
          <t>Account merge, migration &amp; franchise</t>
        </is>
      </c>
      <c r="D32" s="70" t="inlineStr">
        <is>
          <t>Merge/unmerge, franchise-vs-parent representation, role-conflict resolution.</t>
        </is>
      </c>
      <c r="E32" s="70" t="n">
        <v>4</v>
      </c>
      <c r="F32" s="70" t="inlineStr">
        <is>
          <t>32, 33, 148, 156</t>
        </is>
      </c>
      <c r="G32" s="70" t="inlineStr">
        <is>
          <t>Not Started</t>
        </is>
      </c>
    </row>
    <row r="33">
      <c r="A33" s="70" t="inlineStr">
        <is>
          <t>E-WS8.4</t>
        </is>
      </c>
      <c r="B33" s="70" t="inlineStr">
        <is>
          <t>WS8 — WS 8: CRM Systems Enablement</t>
        </is>
      </c>
      <c r="C33" s="70" t="inlineStr">
        <is>
          <t>Delegation &amp; permissions matrix</t>
        </is>
      </c>
      <c r="D33" s="70" t="inlineStr">
        <is>
          <t>Configurable delegate permissions, grants, primary-only fields, code-sharing.</t>
        </is>
      </c>
      <c r="E33" s="70" t="n">
        <v>13</v>
      </c>
      <c r="F33" s="70" t="inlineStr">
        <is>
          <t>19, 20, 21, 22, 23, 24, 25, 29, 30, 41, 154, 158, 160</t>
        </is>
      </c>
      <c r="G33" s="70" t="inlineStr">
        <is>
          <t>Not Started</t>
        </is>
      </c>
    </row>
    <row r="34">
      <c r="A34" s="70" t="inlineStr">
        <is>
          <t>E-WS8.5</t>
        </is>
      </c>
      <c r="B34" s="70" t="inlineStr">
        <is>
          <t>WS8 — WS 8: CRM Systems Enablement</t>
        </is>
      </c>
      <c r="C34" s="70" t="inlineStr">
        <is>
          <t>Customer Care account management</t>
        </is>
      </c>
      <c r="D34" s="70" t="inlineStr">
        <is>
          <t>Customer Care updates account fields on behalf of PRO; escalation pathways.</t>
        </is>
      </c>
      <c r="E34" s="70" t="n">
        <v>1</v>
      </c>
      <c r="F34" s="70" t="inlineStr">
        <is>
          <t>150</t>
        </is>
      </c>
      <c r="G34" s="70" t="inlineStr">
        <is>
          <t>Not Started</t>
        </is>
      </c>
    </row>
    <row r="35">
      <c r="A35" s="70" t="inlineStr">
        <is>
          <t>E-WS9.1</t>
        </is>
      </c>
      <c r="B35" s="70" t="inlineStr">
        <is>
          <t>WS9 — WS 9: Finance &amp; Oracle ERP Integration</t>
        </is>
      </c>
      <c r="C35" s="70" t="inlineStr">
        <is>
          <t>Liability recognition &amp; accounting</t>
        </is>
      </c>
      <c r="D35" s="70" t="inlineStr">
        <is>
          <t>Liability at point of transaction; F&amp;D Bucks (issued) vs. rebate (accrued); PPR alongside new.</t>
        </is>
      </c>
      <c r="E35" s="70" t="n">
        <v>7</v>
      </c>
      <c r="F35" s="70" t="inlineStr">
        <is>
          <t>70, 71, 212, 213, 224, 225, 226</t>
        </is>
      </c>
      <c r="G35" s="70" t="inlineStr">
        <is>
          <t>Not Started</t>
        </is>
      </c>
    </row>
    <row r="36">
      <c r="A36" s="70" t="inlineStr">
        <is>
          <t>E-WS9.2</t>
        </is>
      </c>
      <c r="B36" s="70" t="inlineStr">
        <is>
          <t>WS9 — WS 9: Finance &amp; Oracle ERP Integration</t>
        </is>
      </c>
      <c r="C36" s="70" t="inlineStr">
        <is>
          <t>Rebate disbursement / Oracle integration</t>
        </is>
      </c>
      <c r="D36" s="70" t="inlineStr">
        <is>
          <t>Oracle approval, 3rd-party check, failed-mailing flow, immutability.</t>
        </is>
      </c>
      <c r="E36" s="70" t="n">
        <v>5</v>
      </c>
      <c r="F36" s="70" t="inlineStr">
        <is>
          <t>59, 61, 102, 191, 192</t>
        </is>
      </c>
      <c r="G36" s="70" t="inlineStr">
        <is>
          <t>Not Started</t>
        </is>
      </c>
    </row>
    <row r="37">
      <c r="A37" s="70" t="inlineStr">
        <is>
          <t>E-WS9.3</t>
        </is>
      </c>
      <c r="B37" s="70" t="inlineStr">
        <is>
          <t>WS9 — WS 9: Finance &amp; Oracle ERP Integration</t>
        </is>
      </c>
      <c r="C37" s="70" t="inlineStr">
        <is>
          <t>SOX audit trail &amp; compliance</t>
        </is>
      </c>
      <c r="D37" s="70" t="inlineStr">
        <is>
          <t>Full lifecycle traceability, void with audit, SOX queries.</t>
        </is>
      </c>
      <c r="E37" s="70" t="n">
        <v>4</v>
      </c>
      <c r="F37" s="70" t="inlineStr">
        <is>
          <t>47, 101, 103, 240</t>
        </is>
      </c>
      <c r="G37" s="70" t="inlineStr">
        <is>
          <t>Not Started</t>
        </is>
      </c>
    </row>
    <row r="38">
      <c r="A38" s="70" t="inlineStr">
        <is>
          <t>E-WS11.1</t>
        </is>
      </c>
      <c r="B38" s="70" t="inlineStr">
        <is>
          <t>WS11 — WS 11: E-commerce Web</t>
        </is>
      </c>
      <c r="C38" s="70" t="inlineStr">
        <is>
          <t>Online loyalty integration (auth, attribution, redemption)</t>
        </is>
      </c>
      <c r="D38" s="70" t="inlineStr">
        <is>
          <t>Auth on web, attribute online purchase, F&amp;D Bucks redemption at eComm.</t>
        </is>
      </c>
      <c r="E38" s="70" t="n">
        <v>2</v>
      </c>
      <c r="F38" s="70" t="inlineStr">
        <is>
          <t>104, 105</t>
        </is>
      </c>
      <c r="G38" s="70" t="inlineStr">
        <is>
          <t>Not Started</t>
        </is>
      </c>
    </row>
    <row r="39">
      <c r="A39" s="70" t="inlineStr">
        <is>
          <t>E-WS11.2</t>
        </is>
      </c>
      <c r="B39" s="70" t="inlineStr">
        <is>
          <t>WS11 — WS 11: E-commerce Web</t>
        </is>
      </c>
      <c r="C39" s="70" t="inlineStr">
        <is>
          <t>Online bulk pricing</t>
        </is>
      </c>
      <c r="D39" s="70" t="inlineStr">
        <is>
          <t>Real-time threshold-based pricing, public display + auth-required redemption.</t>
        </is>
      </c>
      <c r="E39" s="70" t="n">
        <v>3</v>
      </c>
      <c r="F39" s="70" t="inlineStr">
        <is>
          <t>229, 230, 235</t>
        </is>
      </c>
      <c r="G39" s="70" t="inlineStr">
        <is>
          <t>Not Started</t>
        </is>
      </c>
    </row>
    <row r="40">
      <c r="A40" s="70" t="inlineStr">
        <is>
          <t>E-WS11.3</t>
        </is>
      </c>
      <c r="B40" s="70" t="inlineStr">
        <is>
          <t>WS11 — WS 11: E-commerce Web</t>
        </is>
      </c>
      <c r="C40" s="70" t="inlineStr">
        <is>
          <t>Online benefit application (delivery, bid room)</t>
        </is>
      </c>
      <c r="D40" s="70" t="inlineStr">
        <is>
          <t>Delivery applied on eComm order, bid-room prompt at $5K, eligibility flags.</t>
        </is>
      </c>
      <c r="E40" s="70" t="n">
        <v>3</v>
      </c>
      <c r="F40" s="70" t="inlineStr">
        <is>
          <t>15, 106, 234</t>
        </is>
      </c>
      <c r="G40" s="70" t="inlineStr">
        <is>
          <t>Not Started</t>
        </is>
      </c>
    </row>
    <row r="41">
      <c r="A41" s="70" t="inlineStr">
        <is>
          <t>E-WS12.1</t>
        </is>
      </c>
      <c r="B41" s="70" t="inlineStr">
        <is>
          <t>WS12 — WS 12: POS / Store Workflows (Veras)</t>
        </is>
      </c>
      <c r="C41" s="70" t="inlineStr">
        <is>
          <t>POS lookup &amp; identification</t>
        </is>
      </c>
      <c r="D41" s="70" t="inlineStr">
        <is>
          <t>QR / account ID / email / phone lookup, retry on failure, unattributed-sale flow.</t>
        </is>
      </c>
      <c r="E41" s="70" t="n">
        <v>7</v>
      </c>
      <c r="F41" s="70" t="inlineStr">
        <is>
          <t>28, 91, 100, 168, 170, 171, 208</t>
        </is>
      </c>
      <c r="G41" s="70" t="inlineStr">
        <is>
          <t>Not Started</t>
        </is>
      </c>
    </row>
    <row r="42">
      <c r="A42" s="70" t="inlineStr">
        <is>
          <t>E-WS12.2</t>
        </is>
      </c>
      <c r="B42" s="70" t="inlineStr">
        <is>
          <t>WS12 — WS 12: POS / Store Workflows (Veras)</t>
        </is>
      </c>
      <c r="C42" s="70" t="inlineStr">
        <is>
          <t>POS associate UI / status display</t>
        </is>
      </c>
      <c r="D42" s="70" t="inlineStr">
        <is>
          <t>Status panel, benefit eligibility flags, data-quality flags, PRO desk extended lookup.</t>
        </is>
      </c>
      <c r="E42" s="70" t="n">
        <v>5</v>
      </c>
      <c r="F42" s="70" t="inlineStr">
        <is>
          <t>34, 95, 96, 166, 167</t>
        </is>
      </c>
      <c r="G42" s="70" t="inlineStr">
        <is>
          <t>Not Started</t>
        </is>
      </c>
    </row>
    <row r="43">
      <c r="A43" s="70" t="inlineStr">
        <is>
          <t>E-WS12.3</t>
        </is>
      </c>
      <c r="B43" s="70" t="inlineStr">
        <is>
          <t>WS12 — WS 12: POS / Store Workflows (Veras)</t>
        </is>
      </c>
      <c r="C43" s="70" t="inlineStr">
        <is>
          <t>POS redemption flows</t>
        </is>
      </c>
      <c r="D43" s="70" t="inlineStr">
        <is>
          <t>Free sample, free delivery, F&amp;D Bucks at register; multi-benefit application.</t>
        </is>
      </c>
      <c r="E43" s="70" t="n">
        <v>4</v>
      </c>
      <c r="F43" s="70" t="inlineStr">
        <is>
          <t>14, 35, 74, 145</t>
        </is>
      </c>
      <c r="G43" s="70" t="inlineStr">
        <is>
          <t>Not Started</t>
        </is>
      </c>
    </row>
    <row r="44">
      <c r="A44" s="70" t="inlineStr">
        <is>
          <t>E-WS12.4</t>
        </is>
      </c>
      <c r="B44" s="70" t="inlineStr">
        <is>
          <t>WS12 — WS 12: POS / Store Workflows (Veras)</t>
        </is>
      </c>
      <c r="C44" s="70" t="inlineStr">
        <is>
          <t>POS bulk &amp; bid-room pricing</t>
        </is>
      </c>
      <c r="D44" s="70" t="inlineStr">
        <is>
          <t>Bulk threshold application, override blocked, $5K bid-room flag.</t>
        </is>
      </c>
      <c r="E44" s="70" t="n">
        <v>6</v>
      </c>
      <c r="F44" s="70" t="inlineStr">
        <is>
          <t>86, 87, 89, 164, 165, 169</t>
        </is>
      </c>
      <c r="G44" s="70" t="inlineStr">
        <is>
          <t>Not Started</t>
        </is>
      </c>
    </row>
    <row r="45">
      <c r="A45" s="70" t="inlineStr">
        <is>
          <t>E-WS12.5</t>
        </is>
      </c>
      <c r="B45" s="70" t="inlineStr">
        <is>
          <t>WS12 — WS 12: POS / Store Workflows (Veras)</t>
        </is>
      </c>
      <c r="C45" s="70" t="inlineStr">
        <is>
          <t>Confirm2Pay integration</t>
        </is>
      </c>
      <c r="D45" s="70" t="inlineStr">
        <is>
          <t>Auto-attribution on Confirm2Pay payment without separate QR scan.</t>
        </is>
      </c>
      <c r="E45" s="70" t="n">
        <v>1</v>
      </c>
      <c r="F45" s="70" t="inlineStr">
        <is>
          <t>163</t>
        </is>
      </c>
      <c r="G45" s="70" t="inlineStr">
        <is>
          <t>Not Started</t>
        </is>
      </c>
    </row>
    <row r="46">
      <c r="A46" s="70" t="inlineStr">
        <is>
          <t>E-WS13.1</t>
        </is>
      </c>
      <c r="B46" s="70" t="inlineStr">
        <is>
          <t>WS13 — WS 13: Marketing &amp; Communications</t>
        </is>
      </c>
      <c r="C46" s="70" t="inlineStr">
        <is>
          <t>Lifecycle trigger comms (email/app)</t>
        </is>
      </c>
      <c r="D46" s="70" t="inlineStr">
        <is>
          <t>Sign-up, tier change, transaction, delivery, redemption, inactivity, account info update.</t>
        </is>
      </c>
      <c r="E46" s="70" t="n">
        <v>8</v>
      </c>
      <c r="F46" s="70" t="inlineStr">
        <is>
          <t>44, 45, 46, 75, 172, 173, 174, 175</t>
        </is>
      </c>
      <c r="G46" s="70" t="inlineStr">
        <is>
          <t>Not Started</t>
        </is>
      </c>
    </row>
    <row r="47">
      <c r="A47" s="70" t="inlineStr">
        <is>
          <t>E-WS13.2</t>
        </is>
      </c>
      <c r="B47" s="70" t="inlineStr">
        <is>
          <t>WS13 — WS 13: Marketing &amp; Communications</t>
        </is>
      </c>
      <c r="C47" s="70" t="inlineStr">
        <is>
          <t>SMS integration &amp; consent</t>
        </is>
      </c>
      <c r="D47" s="70" t="inlineStr">
        <is>
          <t>Vendor (Braze/Attentive) integration, opt-in/opt-out at user level, suppression.</t>
        </is>
      </c>
      <c r="E47" s="70" t="n">
        <v>5</v>
      </c>
      <c r="F47" s="70" t="inlineStr">
        <is>
          <t>76, 77, 176, 177, 180</t>
        </is>
      </c>
      <c r="G47" s="70" t="inlineStr">
        <is>
          <t>Not Started</t>
        </is>
      </c>
    </row>
    <row r="48">
      <c r="A48" s="70" t="inlineStr">
        <is>
          <t>E-WS13.3</t>
        </is>
      </c>
      <c r="B48" s="70" t="inlineStr">
        <is>
          <t>WS13 — WS 13: Marketing &amp; Communications</t>
        </is>
      </c>
      <c r="C48" s="70" t="inlineStr">
        <is>
          <t>Localization (Spanish)</t>
        </is>
      </c>
      <c r="D48" s="70" t="inlineStr">
        <is>
          <t>Language preference at user, translated comms across email/SMS/in-store.</t>
        </is>
      </c>
      <c r="E48" s="70" t="n">
        <v>2</v>
      </c>
      <c r="F48" s="70" t="inlineStr">
        <is>
          <t>157, 178</t>
        </is>
      </c>
      <c r="G48" s="70" t="inlineStr">
        <is>
          <t>Not Started</t>
        </is>
      </c>
    </row>
    <row r="49">
      <c r="A49" s="70" t="inlineStr">
        <is>
          <t>E-WS13.4</t>
        </is>
      </c>
      <c r="B49" s="70" t="inlineStr">
        <is>
          <t>WS13 — WS 13: Marketing &amp; Communications</t>
        </is>
      </c>
      <c r="C49" s="70" t="inlineStr">
        <is>
          <t>PPR transition comms</t>
        </is>
      </c>
      <c r="D49" s="70" t="inlineStr">
        <is>
          <t>T-3mo, point-stop, launch, T-90d expiry; delivery + open-rate tracking.</t>
        </is>
      </c>
      <c r="E49" s="70" t="n">
        <v>3</v>
      </c>
      <c r="F49" s="70" t="inlineStr">
        <is>
          <t>69, 205, 206</t>
        </is>
      </c>
      <c r="G49" s="70" t="inlineStr">
        <is>
          <t>Not Started</t>
        </is>
      </c>
    </row>
    <row r="50">
      <c r="A50" s="70" t="inlineStr">
        <is>
          <t>E-WS14.1</t>
        </is>
      </c>
      <c r="B50" s="70" t="inlineStr">
        <is>
          <t>WS14 — WS 14: PPR Transition &amp; Migration</t>
        </is>
      </c>
      <c r="C50" s="70" t="inlineStr">
        <is>
          <t>PPR cutoff &amp; wind-down</t>
        </is>
      </c>
      <c r="D50" s="70" t="inlineStr">
        <is>
          <t>Hard stop on PPR accrual, boundary handling, post-cutoff return → negative balance.</t>
        </is>
      </c>
      <c r="E50" s="70" t="n">
        <v>4</v>
      </c>
      <c r="F50" s="70" t="inlineStr">
        <is>
          <t>67, 200, 201, 202</t>
        </is>
      </c>
      <c r="G50" s="70" t="inlineStr">
        <is>
          <t>Not Started</t>
        </is>
      </c>
    </row>
    <row r="51">
      <c r="A51" s="70" t="inlineStr">
        <is>
          <t>E-WS14.2</t>
        </is>
      </c>
      <c r="B51" s="70" t="inlineStr">
        <is>
          <t>WS14 — WS 14: PPR Transition &amp; Migration</t>
        </is>
      </c>
      <c r="C51" s="70" t="inlineStr">
        <is>
          <t>PPR redemption continuity</t>
        </is>
      </c>
      <c r="D51" s="70" t="inlineStr">
        <is>
          <t>Indefinite Augeo redemption, catalog unchanged.</t>
        </is>
      </c>
      <c r="E51" s="70" t="n">
        <v>1</v>
      </c>
      <c r="F51" s="70" t="inlineStr">
        <is>
          <t>203</t>
        </is>
      </c>
      <c r="G51" s="70" t="inlineStr">
        <is>
          <t>Not Started</t>
        </is>
      </c>
    </row>
    <row r="52">
      <c r="A52" s="70" t="inlineStr">
        <is>
          <t>E-WS14.3</t>
        </is>
      </c>
      <c r="B52" s="70" t="inlineStr">
        <is>
          <t>WS14 — WS 14: PPR Transition &amp; Migration</t>
        </is>
      </c>
      <c r="C52" s="70" t="inlineStr">
        <is>
          <t>Account seeding &amp; migration</t>
        </is>
      </c>
      <c r="D52" s="70" t="inlineStr">
        <is>
          <t>LTM-based seeding, mapping PPR contacts to new accounts, duplicate merge.</t>
        </is>
      </c>
      <c r="E52" s="70" t="n">
        <v>6</v>
      </c>
      <c r="F52" s="70" t="inlineStr">
        <is>
          <t>7, 66, 68, 136, 211, 214</t>
        </is>
      </c>
      <c r="G52" s="70" t="inlineStr">
        <is>
          <t>Not Started</t>
        </is>
      </c>
    </row>
    <row r="53">
      <c r="A53" s="70" t="inlineStr">
        <is>
          <t>E-WS14.4</t>
        </is>
      </c>
      <c r="B53" s="70" t="inlineStr">
        <is>
          <t>WS14 — WS 14: PPR Transition &amp; Migration</t>
        </is>
      </c>
      <c r="C53" s="70" t="inlineStr">
        <is>
          <t>CAM program identification</t>
        </is>
      </c>
      <c r="D53" s="70" t="inlineStr">
        <is>
          <t>$250K LTM flag, CAM admission override, Platinum benefit suppression.</t>
        </is>
      </c>
      <c r="E53" s="70" t="n">
        <v>3</v>
      </c>
      <c r="F53" s="70" t="inlineStr">
        <is>
          <t>182, 183, 184</t>
        </is>
      </c>
      <c r="G53" s="70" t="inlineStr">
        <is>
          <t>Not Started</t>
        </is>
      </c>
    </row>
    <row r="54">
      <c r="A54" s="70" t="inlineStr">
        <is>
          <t>E-WS14.5</t>
        </is>
      </c>
      <c r="B54" s="70" t="inlineStr">
        <is>
          <t>WS14 — WS 14: PPR Transition &amp; Migration</t>
        </is>
      </c>
      <c r="C54" s="70" t="inlineStr">
        <is>
          <t>Pre-launch data capture &amp; outreach</t>
        </is>
      </c>
      <c r="D54" s="70" t="inlineStr">
        <is>
          <t>Pre-transition outreach to incomplete profiles, unmapped contact onboarding.</t>
        </is>
      </c>
      <c r="E54" s="70" t="n">
        <v>2</v>
      </c>
      <c r="F54" s="70" t="inlineStr">
        <is>
          <t>209, 210</t>
        </is>
      </c>
      <c r="G54" s="70" t="inlineStr">
        <is>
          <t>Not Started</t>
        </is>
      </c>
    </row>
    <row r="55">
      <c r="A55" s="70" t="inlineStr">
        <is>
          <t>E-WS15.1</t>
        </is>
      </c>
      <c r="B55" s="70" t="inlineStr">
        <is>
          <t>WS15 — WS 15: Store Operations &amp; Training</t>
        </is>
      </c>
      <c r="C55" s="70" t="inlineStr">
        <is>
          <t>Associate enrollment support</t>
        </is>
      </c>
      <c r="D55" s="70" t="inlineStr">
        <is>
          <t>Guide PRO through app enrollment; first-transaction linkage.</t>
        </is>
      </c>
      <c r="E55" s="70" t="n">
        <v>0</v>
      </c>
      <c r="F55" s="70" t="inlineStr"/>
      <c r="G55" s="70" t="inlineStr">
        <is>
          <t>Not Started</t>
        </is>
      </c>
    </row>
    <row r="56">
      <c r="A56" s="70" t="inlineStr">
        <is>
          <t>E-WS15.2</t>
        </is>
      </c>
      <c r="B56" s="70" t="inlineStr">
        <is>
          <t>WS15 — WS 15: Store Operations &amp; Training</t>
        </is>
      </c>
      <c r="C56" s="70" t="inlineStr">
        <is>
          <t>Associate–PRO interaction workflows</t>
        </is>
      </c>
      <c r="D56" s="70" t="inlineStr">
        <is>
          <t>Surface missing data, prompt PRO, refer to Customer Care.</t>
        </is>
      </c>
      <c r="E56" s="70" t="n">
        <v>2</v>
      </c>
      <c r="F56" s="70" t="inlineStr">
        <is>
          <t>232, 233</t>
        </is>
      </c>
      <c r="G56" s="70" t="inlineStr">
        <is>
          <t>Not Started</t>
        </is>
      </c>
    </row>
    <row r="57">
      <c r="A57" s="70" t="inlineStr">
        <is>
          <t>E-WS15.3</t>
        </is>
      </c>
      <c r="B57" s="70" t="inlineStr">
        <is>
          <t>WS15 — WS 15: Store Operations &amp; Training</t>
        </is>
      </c>
      <c r="C57" s="70" t="inlineStr">
        <is>
          <t>Escalation &amp; dispute handling</t>
        </is>
      </c>
      <c r="D57" s="70" t="inlineStr">
        <is>
          <t>Redemption disputes routed above store level.</t>
        </is>
      </c>
      <c r="E57" s="70" t="n">
        <v>2</v>
      </c>
      <c r="F57" s="70" t="inlineStr">
        <is>
          <t>97, 186</t>
        </is>
      </c>
      <c r="G57" s="70" t="inlineStr">
        <is>
          <t>Not Started</t>
        </is>
      </c>
    </row>
    <row r="58">
      <c r="A58" s="70" t="inlineStr">
        <is>
          <t>E-WS16.1</t>
        </is>
      </c>
      <c r="B58" s="70" t="inlineStr">
        <is>
          <t>WS16 — WS 16: Platform Infrastructure &amp; DevOps</t>
        </is>
      </c>
      <c r="C58" s="70" t="inlineStr">
        <is>
          <t>Feature flag &amp; config management</t>
        </is>
      </c>
      <c r="D58" s="70" t="inlineStr">
        <is>
          <t>Toggle features in Pro App without release.</t>
        </is>
      </c>
      <c r="E58" s="70" t="n">
        <v>1</v>
      </c>
      <c r="F58" s="70" t="inlineStr">
        <is>
          <t>107</t>
        </is>
      </c>
      <c r="G58" s="70" t="inlineStr">
        <is>
          <t>Not Started</t>
        </is>
      </c>
    </row>
    <row r="59">
      <c r="A59" s="70" t="inlineStr">
        <is>
          <t>E-WS16.2</t>
        </is>
      </c>
      <c r="B59" s="70" t="inlineStr">
        <is>
          <t>WS16 — WS 16: Platform Infrastructure &amp; DevOps</t>
        </is>
      </c>
      <c r="C59" s="70" t="inlineStr">
        <is>
          <t>System reliability (caching, BFF)</t>
        </is>
      </c>
      <c r="D59" s="70" t="inlineStr">
        <is>
          <t>BFF serves cached loyalty state during loyalty-service degradation.</t>
        </is>
      </c>
      <c r="E59" s="70" t="n">
        <v>1</v>
      </c>
      <c r="F59" s="70" t="inlineStr">
        <is>
          <t>108</t>
        </is>
      </c>
      <c r="G59" s="70" t="inlineStr">
        <is>
          <t>Not Started</t>
        </is>
      </c>
    </row>
    <row r="60">
      <c r="A60" s="70" t="inlineStr">
        <is>
          <t>E-WS17.1</t>
        </is>
      </c>
      <c r="B60" s="70" t="inlineStr">
        <is>
          <t>WS17 — WS 17: Security &amp; Identity</t>
        </is>
      </c>
      <c r="C60" s="70" t="inlineStr">
        <is>
          <t>Authentication &amp; 2FA</t>
        </is>
      </c>
      <c r="D60" s="70" t="inlineStr">
        <is>
          <t>PRO authentication, 2FA for F&amp;D Bucks redemption, consumption-event signing.</t>
        </is>
      </c>
      <c r="E60" s="70" t="n">
        <v>2</v>
      </c>
      <c r="F60" s="70" t="inlineStr">
        <is>
          <t>27, 138</t>
        </is>
      </c>
      <c r="G60" s="70" t="inlineStr">
        <is>
          <t>Not Started</t>
        </is>
      </c>
    </row>
    <row r="61">
      <c r="A61" s="70" t="inlineStr">
        <is>
          <t>E-WS17.2</t>
        </is>
      </c>
      <c r="B61" s="70" t="inlineStr">
        <is>
          <t>WS17 — WS 17: Security &amp; Identity</t>
        </is>
      </c>
      <c r="C61" s="70" t="inlineStr">
        <is>
          <t>Permission enforcement &amp; PII protection</t>
        </is>
      </c>
      <c r="D61" s="70" t="inlineStr">
        <is>
          <t>Primary-only fields, delegate restrictions, PII handling, regulatory retention.</t>
        </is>
      </c>
      <c r="E61" s="70" t="n">
        <v>5</v>
      </c>
      <c r="F61" s="70" t="inlineStr">
        <is>
          <t>26, 159, 161, 162, 238</t>
        </is>
      </c>
      <c r="G61" s="70" t="inlineStr">
        <is>
          <t>Not Started</t>
        </is>
      </c>
    </row>
    <row r="62">
      <c r="A62" s="70" t="inlineStr">
        <is>
          <t>E-WS17.3</t>
        </is>
      </c>
      <c r="B62" s="70" t="inlineStr">
        <is>
          <t>WS17 — WS 17: Security &amp; Identity</t>
        </is>
      </c>
      <c r="C62" s="70" t="inlineStr">
        <is>
          <t>Key rotation &amp; signing</t>
        </is>
      </c>
      <c r="D62" s="70" t="inlineStr">
        <is>
          <t>POS adapter system key rotation, revoked-key event rejection.</t>
        </is>
      </c>
      <c r="E62" s="70" t="n">
        <v>2</v>
      </c>
      <c r="F62" s="70" t="inlineStr">
        <is>
          <t>38, 53</t>
        </is>
      </c>
      <c r="G62" s="70" t="inlineStr">
        <is>
          <t>Not Started</t>
        </is>
      </c>
    </row>
    <row r="63">
      <c r="A63" s="70" t="inlineStr">
        <is>
          <t>E-FD.1</t>
        </is>
      </c>
      <c r="B63" s="70" t="inlineStr">
        <is>
          <t>FD — Fraud Detection</t>
        </is>
      </c>
      <c r="C63" s="70" t="inlineStr">
        <is>
          <t>Fraud / risk monitoring &amp; flagging</t>
        </is>
      </c>
      <c r="D63" s="70" t="inlineStr">
        <is>
          <t>High return rate, retro-attribution abuse, threshold-edge patterns; review queue.</t>
        </is>
      </c>
      <c r="E63" s="70" t="n">
        <v>4</v>
      </c>
      <c r="F63" s="70" t="inlineStr">
        <is>
          <t>181, 236, 237, 239</t>
        </is>
      </c>
      <c r="G63" s="70" t="inlineStr">
        <is>
          <t>Not Started</t>
        </is>
      </c>
    </row>
    <row r="64">
      <c r="A64" s="70" t="inlineStr">
        <is>
          <t>E-SB.1</t>
        </is>
      </c>
      <c r="B64" s="70" t="inlineStr">
        <is>
          <t>SB — Storage Buy Updates</t>
        </is>
      </c>
      <c r="C64" s="70" t="inlineStr">
        <is>
          <t>StorageBuy tier-aware prioritization</t>
        </is>
      </c>
      <c r="D64" s="70" t="inlineStr">
        <is>
          <t>Surface PRO tier in StorageBuy to drive fulfillment priority.</t>
        </is>
      </c>
      <c r="E64" s="70" t="n">
        <v>1</v>
      </c>
      <c r="F64" s="70" t="inlineStr">
        <is>
          <t>122</t>
        </is>
      </c>
      <c r="G64" s="70" t="inlineStr">
        <is>
          <t>Not Started</t>
        </is>
      </c>
    </row>
    <row r="65">
      <c r="A65" s="70" t="inlineStr">
        <is>
          <t>E-MP.1</t>
        </is>
      </c>
      <c r="B65" s="70" t="inlineStr">
        <is>
          <t>MP — MyProject Modifications / Integrations</t>
        </is>
      </c>
      <c r="C65" s="70" t="inlineStr">
        <is>
          <t>Pro app credit handoff</t>
        </is>
      </c>
      <c r="D65" s="70" t="inlineStr">
        <is>
          <t>Credit entry point, secure handoff to credit application, engagement tracking.</t>
        </is>
      </c>
      <c r="E65" s="70" t="n">
        <v>3</v>
      </c>
      <c r="F65" s="70" t="inlineStr">
        <is>
          <t>109, 110, 111</t>
        </is>
      </c>
      <c r="G65" s="70" t="inlineStr">
        <is>
          <t>Not Started</t>
        </is>
      </c>
    </row>
    <row r="66">
      <c r="A66" s="70" t="inlineStr">
        <is>
          <t>E-MP.2</t>
        </is>
      </c>
      <c r="B66" s="70" t="inlineStr">
        <is>
          <t>MP — MyProject Modifications / Integrations</t>
        </is>
      </c>
      <c r="C66" s="70" t="inlineStr">
        <is>
          <t>Pro app digital wallet &amp; rebate visibility</t>
        </is>
      </c>
      <c r="D66" s="70" t="inlineStr">
        <is>
          <t>F&amp;D Bucks wallet, provisional rebate, PPR balance display, payment details capture.</t>
        </is>
      </c>
      <c r="E66" s="70" t="n">
        <v>4</v>
      </c>
      <c r="F66" s="70" t="inlineStr">
        <is>
          <t>56, 190, 197, 204</t>
        </is>
      </c>
      <c r="G66" s="70" t="inlineStr">
        <is>
          <t>Not Started</t>
        </is>
      </c>
    </row>
    <row r="67">
      <c r="A67" s="70" t="inlineStr">
        <is>
          <t>E-MP.3</t>
        </is>
      </c>
      <c r="B67" s="70" t="inlineStr">
        <is>
          <t>MP — MyProject Modifications / Integrations</t>
        </is>
      </c>
      <c r="C67" s="70" t="inlineStr">
        <is>
          <t>Pro app onboarding / first-use experience</t>
        </is>
      </c>
      <c r="D67" s="70" t="inlineStr">
        <is>
          <t>First post-launch login welcome flow, web redirect at checkout, Pro-facing delivery view.</t>
        </is>
      </c>
      <c r="E67" s="70" t="n">
        <v>3</v>
      </c>
      <c r="F67" s="70" t="inlineStr">
        <is>
          <t>65, 78, 207</t>
        </is>
      </c>
      <c r="G67" s="70" t="inlineStr">
        <is>
          <t>Not Started</t>
        </is>
      </c>
    </row>
    <row r="68">
      <c r="A68" s="70" t="inlineStr">
        <is>
          <t>E-TST.1</t>
        </is>
      </c>
      <c r="B68" s="70" t="inlineStr">
        <is>
          <t>TST — E2E and UAT Testing</t>
        </is>
      </c>
      <c r="C68" s="70" t="inlineStr">
        <is>
          <t>E2E test coverage</t>
        </is>
      </c>
      <c r="D68" s="70" t="inlineStr">
        <is>
          <t>End-to-end flows covering critical-path UCs across systems.</t>
        </is>
      </c>
      <c r="E68" s="70" t="n">
        <v>0</v>
      </c>
      <c r="F68" s="70" t="inlineStr"/>
      <c r="G68" s="70" t="inlineStr">
        <is>
          <t>Not Started</t>
        </is>
      </c>
    </row>
    <row r="69">
      <c r="A69" s="70" t="inlineStr">
        <is>
          <t>E-TST.2</t>
        </is>
      </c>
      <c r="B69" s="70" t="inlineStr">
        <is>
          <t>TST — E2E and UAT Testing</t>
        </is>
      </c>
      <c r="C69" s="70" t="inlineStr">
        <is>
          <t>UAT scenarios &amp; sign-off</t>
        </is>
      </c>
      <c r="D69" s="70" t="inlineStr">
        <is>
          <t>Business-led UAT scenarios with explicit sign-off criteria.</t>
        </is>
      </c>
      <c r="E69" s="70" t="n">
        <v>0</v>
      </c>
      <c r="F69" s="70" t="inlineStr"/>
      <c r="G69" s="70" t="inlineStr">
        <is>
          <t>Not Started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8" customWidth="1" min="1" max="1"/>
    <col width="60" customWidth="1" min="2" max="2"/>
    <col width="26" customWidth="1" min="3" max="3"/>
    <col width="14" customWidth="1" min="4" max="4"/>
    <col width="14" customWidth="1" min="5" max="5"/>
    <col width="14" customWidth="1" min="6" max="6"/>
    <col width="50" customWidth="1" min="7" max="7"/>
    <col width="26" customWidth="1" min="8" max="8"/>
    <col width="22" customWidth="1" min="9" max="9"/>
  </cols>
  <sheetData>
    <row r="1">
      <c r="A1" s="78" t="inlineStr">
        <is>
          <t>ID</t>
        </is>
      </c>
      <c r="B1" s="78" t="inlineStr">
        <is>
          <t>Question / Decision Needed</t>
        </is>
      </c>
      <c r="C1" s="78" t="inlineStr">
        <is>
          <t>Owner</t>
        </is>
      </c>
      <c r="D1" s="78" t="inlineStr">
        <is>
          <t>Raised</t>
        </is>
      </c>
      <c r="E1" s="78" t="inlineStr">
        <is>
          <t>Due</t>
        </is>
      </c>
      <c r="F1" s="78" t="inlineStr">
        <is>
          <t>Status</t>
        </is>
      </c>
      <c r="G1" s="78" t="inlineStr">
        <is>
          <t>Decision (when resolved)</t>
        </is>
      </c>
      <c r="H1" s="78" t="inlineStr">
        <is>
          <t>Use Cases Affected</t>
        </is>
      </c>
      <c r="I1" s="78" t="inlineStr">
        <is>
          <t>Source Requirement(s)</t>
        </is>
      </c>
    </row>
    <row r="2">
      <c r="A2" s="70" t="inlineStr">
        <is>
          <t>D-001</t>
        </is>
      </c>
      <c r="B2" s="70" t="inlineStr">
        <is>
          <t>Can PROs opt out of F&amp;D Bucks at Silver tier?</t>
        </is>
      </c>
      <c r="C2" s="70" t="inlineStr">
        <is>
          <t>Mark H. (Marketing)</t>
        </is>
      </c>
      <c r="D2" s="70" t="inlineStr">
        <is>
          <t>2026-04-21</t>
        </is>
      </c>
      <c r="E2" s="70" t="inlineStr">
        <is>
          <t>2026-06-15</t>
        </is>
      </c>
      <c r="F2" s="70" t="inlineStr">
        <is>
          <t>Open</t>
        </is>
      </c>
      <c r="G2" s="70" t="inlineStr"/>
      <c r="H2" s="70" t="inlineStr">
        <is>
          <t>11, 79</t>
        </is>
      </c>
      <c r="I2" s="70" t="inlineStr">
        <is>
          <t>J-GC-3</t>
        </is>
      </c>
    </row>
    <row r="3">
      <c r="A3" s="70" t="inlineStr">
        <is>
          <t>D-002</t>
        </is>
      </c>
      <c r="B3" s="70" t="inlineStr">
        <is>
          <t>What happens if a PRO moves from Silver to Gold (rebate selection mechanics)?</t>
        </is>
      </c>
      <c r="C3" s="70" t="inlineStr">
        <is>
          <t>Mark H. (Marketing)</t>
        </is>
      </c>
      <c r="D3" s="70" t="inlineStr">
        <is>
          <t>2026-04-21</t>
        </is>
      </c>
      <c r="E3" s="70" t="inlineStr">
        <is>
          <t>2026-06-15</t>
        </is>
      </c>
      <c r="F3" s="70" t="inlineStr">
        <is>
          <t>Open</t>
        </is>
      </c>
      <c r="G3" s="70" t="inlineStr"/>
      <c r="H3" s="70" t="inlineStr">
        <is>
          <t>2, 11, 54, 195</t>
        </is>
      </c>
      <c r="I3" s="70" t="inlineStr">
        <is>
          <t>J-CR-4</t>
        </is>
      </c>
    </row>
    <row r="4">
      <c r="A4" s="70" t="inlineStr">
        <is>
          <t>D-003</t>
        </is>
      </c>
      <c r="B4" s="70" t="inlineStr">
        <is>
          <t>Do PROs need to reselect benefits each year (Gold/Platinum)?</t>
        </is>
      </c>
      <c r="C4" s="70" t="inlineStr">
        <is>
          <t>Mark H. (Marketing)</t>
        </is>
      </c>
      <c r="D4" s="70" t="inlineStr">
        <is>
          <t>2026-04-21</t>
        </is>
      </c>
      <c r="E4" s="70" t="inlineStr">
        <is>
          <t>2026-06-15</t>
        </is>
      </c>
      <c r="F4" s="70" t="inlineStr">
        <is>
          <t>Open</t>
        </is>
      </c>
      <c r="G4" s="70" t="inlineStr"/>
      <c r="H4" s="70" t="inlineStr">
        <is>
          <t>54, 193</t>
        </is>
      </c>
      <c r="I4" s="70" t="inlineStr">
        <is>
          <t>J-CR-8</t>
        </is>
      </c>
    </row>
    <row r="5">
      <c r="A5" s="70" t="inlineStr">
        <is>
          <t>D-004</t>
        </is>
      </c>
      <c r="B5" s="70" t="inlineStr">
        <is>
          <t>How is spend handled when crossing a tier threshold (rebate edge)?</t>
        </is>
      </c>
      <c r="C5" s="70" t="inlineStr">
        <is>
          <t>Loyalty PM</t>
        </is>
      </c>
      <c r="D5" s="70" t="inlineStr">
        <is>
          <t>2026-04-21</t>
        </is>
      </c>
      <c r="E5" s="70" t="inlineStr">
        <is>
          <t>2026-06-15</t>
        </is>
      </c>
      <c r="F5" s="70" t="inlineStr">
        <is>
          <t>Open</t>
        </is>
      </c>
      <c r="G5" s="70" t="inlineStr"/>
      <c r="H5" s="70" t="inlineStr">
        <is>
          <t>2, 126, 131</t>
        </is>
      </c>
      <c r="I5" s="70" t="inlineStr">
        <is>
          <t>E-CR-2</t>
        </is>
      </c>
    </row>
    <row r="6">
      <c r="A6" s="70" t="inlineStr">
        <is>
          <t>D-005</t>
        </is>
      </c>
      <c r="B6" s="70" t="inlineStr">
        <is>
          <t>When does rebate accrual begin (start condition)?</t>
        </is>
      </c>
      <c r="C6" s="70" t="inlineStr">
        <is>
          <t>Loyalty PM</t>
        </is>
      </c>
      <c r="D6" s="70" t="inlineStr">
        <is>
          <t>2026-04-21</t>
        </is>
      </c>
      <c r="E6" s="70" t="inlineStr">
        <is>
          <t>2026-06-15</t>
        </is>
      </c>
      <c r="F6" s="70" t="inlineStr">
        <is>
          <t>Open</t>
        </is>
      </c>
      <c r="G6" s="70" t="inlineStr"/>
      <c r="H6" s="70" t="inlineStr">
        <is>
          <t>199, 137</t>
        </is>
      </c>
      <c r="I6" s="70" t="inlineStr">
        <is>
          <t>E-CR-3</t>
        </is>
      </c>
    </row>
    <row r="7">
      <c r="A7" s="70" t="inlineStr">
        <is>
          <t>D-006</t>
        </is>
      </c>
      <c r="B7" s="70" t="inlineStr">
        <is>
          <t>How are post-period returns handled for rebate accrual?</t>
        </is>
      </c>
      <c r="C7" s="70" t="inlineStr">
        <is>
          <t>Finance &amp; Accounting</t>
        </is>
      </c>
      <c r="D7" s="70" t="inlineStr">
        <is>
          <t>2026-04-21</t>
        </is>
      </c>
      <c r="E7" s="70" t="inlineStr">
        <is>
          <t>2026-06-15</t>
        </is>
      </c>
      <c r="F7" s="70" t="inlineStr">
        <is>
          <t>Open</t>
        </is>
      </c>
      <c r="G7" s="70" t="inlineStr"/>
      <c r="H7" s="70" t="inlineStr">
        <is>
          <t>196, 4, 98</t>
        </is>
      </c>
      <c r="I7" s="70" t="inlineStr">
        <is>
          <t>E-CR-6</t>
        </is>
      </c>
    </row>
    <row r="8">
      <c r="A8" s="70" t="inlineStr">
        <is>
          <t>D-007</t>
        </is>
      </c>
      <c r="B8" s="70" t="inlineStr">
        <is>
          <t>Are F&amp;D Bucks transferable?</t>
        </is>
      </c>
      <c r="C8" s="70" t="inlineStr">
        <is>
          <t>Loyalty PM</t>
        </is>
      </c>
      <c r="D8" s="70" t="inlineStr">
        <is>
          <t>2026-04-21</t>
        </is>
      </c>
      <c r="E8" s="70" t="inlineStr">
        <is>
          <t>2026-06-15</t>
        </is>
      </c>
      <c r="F8" s="70" t="inlineStr">
        <is>
          <t>Open</t>
        </is>
      </c>
      <c r="G8" s="70" t="inlineStr"/>
      <c r="H8" s="70" t="inlineStr">
        <is>
          <t>21, 24, 25, 41, 42, 160</t>
        </is>
      </c>
      <c r="I8" s="70" t="inlineStr">
        <is>
          <t>R-GC-2</t>
        </is>
      </c>
    </row>
    <row r="9">
      <c r="A9" s="70" t="inlineStr">
        <is>
          <t>D-008</t>
        </is>
      </c>
      <c r="B9" s="70" t="inlineStr">
        <is>
          <t>When do F&amp;D Bucks expire (duration / clock semantics)?</t>
        </is>
      </c>
      <c r="C9" s="70" t="inlineStr">
        <is>
          <t>Loyalty PM</t>
        </is>
      </c>
      <c r="D9" s="70" t="inlineStr">
        <is>
          <t>2026-04-21</t>
        </is>
      </c>
      <c r="E9" s="70" t="inlineStr">
        <is>
          <t>2026-06-15</t>
        </is>
      </c>
      <c r="F9" s="70" t="inlineStr">
        <is>
          <t>Open</t>
        </is>
      </c>
      <c r="G9" s="70" t="inlineStr"/>
      <c r="H9" s="70" t="inlineStr">
        <is>
          <t>17, 43, 45, 60, 140, 141</t>
        </is>
      </c>
      <c r="I9" s="70" t="inlineStr">
        <is>
          <t>R-GC-5</t>
        </is>
      </c>
    </row>
    <row r="10">
      <c r="A10" s="70" t="inlineStr">
        <is>
          <t>D-009</t>
        </is>
      </c>
      <c r="B10" s="70" t="inlineStr">
        <is>
          <t>When are rebates paid out (payout cadence)?</t>
        </is>
      </c>
      <c r="C10" s="70" t="inlineStr">
        <is>
          <t>Finance &amp; Accounting</t>
        </is>
      </c>
      <c r="D10" s="70" t="inlineStr">
        <is>
          <t>2026-04-21</t>
        </is>
      </c>
      <c r="E10" s="70" t="inlineStr">
        <is>
          <t>2026-06-15</t>
        </is>
      </c>
      <c r="F10" s="70" t="inlineStr">
        <is>
          <t>Open</t>
        </is>
      </c>
      <c r="G10" s="70" t="inlineStr"/>
      <c r="H10" s="70" t="inlineStr">
        <is>
          <t>61, 102, 134, 190</t>
        </is>
      </c>
      <c r="I10" s="70" t="inlineStr">
        <is>
          <t>R-CR-1</t>
        </is>
      </c>
    </row>
    <row r="11">
      <c r="A11" s="70" t="inlineStr">
        <is>
          <t>D-010</t>
        </is>
      </c>
      <c r="B11" s="70" t="inlineStr">
        <is>
          <t>How are rebate amounts finalized (locking / cutoffs)?</t>
        </is>
      </c>
      <c r="C11" s="70" t="inlineStr">
        <is>
          <t>Finance &amp; Accounting</t>
        </is>
      </c>
      <c r="D11" s="70" t="inlineStr">
        <is>
          <t>2026-04-21</t>
        </is>
      </c>
      <c r="E11" s="70" t="inlineStr">
        <is>
          <t>2026-06-15</t>
        </is>
      </c>
      <c r="F11" s="70" t="inlineStr">
        <is>
          <t>Open</t>
        </is>
      </c>
      <c r="G11" s="70" t="inlineStr"/>
      <c r="H11" s="70" t="inlineStr">
        <is>
          <t>59, 71, 134, 137</t>
        </is>
      </c>
      <c r="I11" s="70" t="inlineStr">
        <is>
          <t>R-CR-2</t>
        </is>
      </c>
    </row>
    <row r="12">
      <c r="A12" s="70" t="inlineStr">
        <is>
          <t>D-011</t>
        </is>
      </c>
      <c r="B12" s="70" t="inlineStr">
        <is>
          <t>How quickly can PROs see F&amp;D Bucks after earning them (SLA)?</t>
        </is>
      </c>
      <c r="C12" s="70" t="inlineStr">
        <is>
          <t>Loyalty PM</t>
        </is>
      </c>
      <c r="D12" s="70" t="inlineStr">
        <is>
          <t>2026-04-21</t>
        </is>
      </c>
      <c r="E12" s="70" t="inlineStr">
        <is>
          <t>2026-06-15</t>
        </is>
      </c>
      <c r="F12" s="70" t="inlineStr">
        <is>
          <t>Open</t>
        </is>
      </c>
      <c r="G12" s="70" t="inlineStr"/>
      <c r="H12" s="70" t="inlineStr">
        <is>
          <t>56, 57, 144</t>
        </is>
      </c>
      <c r="I12" s="70" t="inlineStr">
        <is>
          <t>M-GC-6</t>
        </is>
      </c>
    </row>
    <row r="13">
      <c r="A13" s="70" t="inlineStr">
        <is>
          <t>D-012</t>
        </is>
      </c>
      <c r="B13" s="70" t="inlineStr">
        <is>
          <t>Retroactive attribution window length</t>
        </is>
      </c>
      <c r="C13" s="70" t="inlineStr">
        <is>
          <t>Loyalty PM</t>
        </is>
      </c>
      <c r="D13" s="70" t="inlineStr">
        <is>
          <t>2026-04-25</t>
        </is>
      </c>
      <c r="E13" s="70" t="inlineStr">
        <is>
          <t>2026-05-30</t>
        </is>
      </c>
      <c r="F13" s="70" t="inlineStr">
        <is>
          <t>Open</t>
        </is>
      </c>
      <c r="G13" s="70" t="inlineStr"/>
      <c r="H13" s="70" t="inlineStr">
        <is>
          <t>92, 168, 188</t>
        </is>
      </c>
      <c r="I13" s="70" t="inlineStr">
        <is>
          <t>E-OA-6</t>
        </is>
      </c>
    </row>
    <row r="14">
      <c r="A14" s="70" t="inlineStr">
        <is>
          <t>D-013</t>
        </is>
      </c>
      <c r="B14" s="70" t="inlineStr">
        <is>
          <t>2FA mechanism for F&amp;D Bucks redemption (app push vs. one-time code)</t>
        </is>
      </c>
      <c r="C14" s="70" t="inlineStr">
        <is>
          <t>Security &amp; Identity (WS17)</t>
        </is>
      </c>
      <c r="D14" s="70" t="inlineStr">
        <is>
          <t>2026-04-25</t>
        </is>
      </c>
      <c r="E14" s="70" t="inlineStr">
        <is>
          <t>2026-05-30</t>
        </is>
      </c>
      <c r="F14" s="70" t="inlineStr">
        <is>
          <t>Open</t>
        </is>
      </c>
      <c r="G14" s="70" t="inlineStr"/>
      <c r="H14" s="70" t="inlineStr">
        <is>
          <t>138</t>
        </is>
      </c>
      <c r="I14" s="70" t="inlineStr">
        <is>
          <t>R-GC-1</t>
        </is>
      </c>
    </row>
    <row r="15">
      <c r="A15" s="70" t="inlineStr">
        <is>
          <t>D-014</t>
        </is>
      </c>
      <c r="B15" s="70" t="inlineStr">
        <is>
          <t>Premium / paid delivery cost structure (post-launch)</t>
        </is>
      </c>
      <c r="C15" s="70" t="inlineStr">
        <is>
          <t>Delivery (WS5)</t>
        </is>
      </c>
      <c r="D15" s="70" t="inlineStr">
        <is>
          <t>2026-05-15</t>
        </is>
      </c>
      <c r="E15" s="70" t="inlineStr">
        <is>
          <t>2026-09-30</t>
        </is>
      </c>
      <c r="F15" s="70" t="inlineStr">
        <is>
          <t>Open</t>
        </is>
      </c>
      <c r="G15" s="70" t="inlineStr"/>
      <c r="H15" s="70" t="inlineStr">
        <is>
          <t>123</t>
        </is>
      </c>
      <c r="I15" s="70" t="inlineStr">
        <is>
          <t>D-EM-11</t>
        </is>
      </c>
    </row>
    <row r="16">
      <c r="A16" s="70" t="inlineStr">
        <is>
          <t>D-015</t>
        </is>
      </c>
      <c r="B16" s="70" t="inlineStr">
        <is>
          <t>Account deactivation disposition policy (F&amp;D Bucks + pending rebate)</t>
        </is>
      </c>
      <c r="C16" s="70" t="inlineStr">
        <is>
          <t>Loyalty PM</t>
        </is>
      </c>
      <c r="D16" s="70" t="inlineStr">
        <is>
          <t>2026-04-25</t>
        </is>
      </c>
      <c r="E16" s="70" t="inlineStr">
        <is>
          <t>2026-06-30</t>
        </is>
      </c>
      <c r="F16" s="70" t="inlineStr">
        <is>
          <t>Open</t>
        </is>
      </c>
      <c r="G16" s="70" t="inlineStr"/>
      <c r="H16" s="70" t="inlineStr">
        <is>
          <t>155</t>
        </is>
      </c>
      <c r="I16" s="70" t="inlineStr"/>
    </row>
    <row r="17">
      <c r="A17" s="70" t="inlineStr">
        <is>
          <t>D-016</t>
        </is>
      </c>
      <c r="B17" s="70" t="inlineStr">
        <is>
          <t>Delegate-removed-mid-redemption race-condition handling</t>
        </is>
      </c>
      <c r="C17" s="70" t="inlineStr">
        <is>
          <t>WS7 Integration</t>
        </is>
      </c>
      <c r="D17" s="70" t="inlineStr">
        <is>
          <t>2026-04-25</t>
        </is>
      </c>
      <c r="E17" s="70" t="inlineStr">
        <is>
          <t>2026-06-15</t>
        </is>
      </c>
      <c r="F17" s="70" t="inlineStr">
        <is>
          <t>Open</t>
        </is>
      </c>
      <c r="G17" s="70" t="inlineStr"/>
      <c r="H17" s="70" t="inlineStr">
        <is>
          <t>154</t>
        </is>
      </c>
      <c r="I17" s="70" t="inlineStr"/>
    </row>
    <row r="18">
      <c r="A18" s="70" t="inlineStr">
        <is>
          <t>D-017</t>
        </is>
      </c>
      <c r="B18" s="70" t="inlineStr">
        <is>
          <t>PPR cutoff timestamp (date + time)</t>
        </is>
      </c>
      <c r="C18" s="70" t="inlineStr">
        <is>
          <t>PPR Transition (WS14)</t>
        </is>
      </c>
      <c r="D18" s="70" t="inlineStr">
        <is>
          <t>2026-04-25</t>
        </is>
      </c>
      <c r="E18" s="70" t="inlineStr">
        <is>
          <t>2026-06-30</t>
        </is>
      </c>
      <c r="F18" s="70" t="inlineStr">
        <is>
          <t>Open</t>
        </is>
      </c>
      <c r="G18" s="70" t="inlineStr"/>
      <c r="H18" s="70" t="inlineStr">
        <is>
          <t>67, 200, 201, 202</t>
        </is>
      </c>
      <c r="I18" s="70" t="inlineStr">
        <is>
          <t>PPR-WD-1</t>
        </is>
      </c>
    </row>
    <row r="19">
      <c r="A19" s="70" t="inlineStr">
        <is>
          <t>D-018</t>
        </is>
      </c>
      <c r="B19" s="70" t="inlineStr">
        <is>
          <t>Fraud thresholds (high-return rate, retro-attribution, threshold-edge patterns)</t>
        </is>
      </c>
      <c r="C19" s="70" t="inlineStr">
        <is>
          <t>Fraud Detection (FD)</t>
        </is>
      </c>
      <c r="D19" s="70" t="inlineStr">
        <is>
          <t>2026-04-25</t>
        </is>
      </c>
      <c r="E19" s="70" t="inlineStr">
        <is>
          <t>2026-07-31</t>
        </is>
      </c>
      <c r="F19" s="70" t="inlineStr">
        <is>
          <t>Open</t>
        </is>
      </c>
      <c r="G19" s="70" t="inlineStr"/>
      <c r="H19" s="70" t="inlineStr">
        <is>
          <t>181, 236, 237, 239</t>
        </is>
      </c>
      <c r="I19" s="70" t="inlineStr">
        <is>
          <t>M-GC-4</t>
        </is>
      </c>
    </row>
    <row r="20">
      <c r="A20" s="70" t="inlineStr">
        <is>
          <t>D-019</t>
        </is>
      </c>
      <c r="B20" s="70" t="inlineStr">
        <is>
          <t>Account inactivity comms — window length</t>
        </is>
      </c>
      <c r="C20" s="70" t="inlineStr">
        <is>
          <t>Marketing (WS13)</t>
        </is>
      </c>
      <c r="D20" s="70" t="inlineStr">
        <is>
          <t>2026-04-25</t>
        </is>
      </c>
      <c r="E20" s="70" t="inlineStr">
        <is>
          <t>2026-06-30</t>
        </is>
      </c>
      <c r="F20" s="70" t="inlineStr">
        <is>
          <t>Open</t>
        </is>
      </c>
      <c r="G20" s="70" t="inlineStr"/>
      <c r="H20" s="70" t="inlineStr">
        <is>
          <t>172</t>
        </is>
      </c>
      <c r="I20" s="70" t="inlineStr">
        <is>
          <t>MC-TRN-2</t>
        </is>
      </c>
    </row>
    <row r="21">
      <c r="A21" s="70" t="inlineStr">
        <is>
          <t>D-020</t>
        </is>
      </c>
      <c r="B21" s="70" t="inlineStr">
        <is>
          <t>Reward selection window length (after tier upgrade)</t>
        </is>
      </c>
      <c r="C21" s="70" t="inlineStr">
        <is>
          <t>Loyalty PM</t>
        </is>
      </c>
      <c r="D21" s="70" t="inlineStr">
        <is>
          <t>2026-04-25</t>
        </is>
      </c>
      <c r="E21" s="70" t="inlineStr">
        <is>
          <t>2026-06-15</t>
        </is>
      </c>
      <c r="F21" s="70" t="inlineStr">
        <is>
          <t>Open</t>
        </is>
      </c>
      <c r="G21" s="70" t="inlineStr"/>
      <c r="H21" s="70" t="inlineStr">
        <is>
          <t>54, 55, 126, 195</t>
        </is>
      </c>
      <c r="I21" s="70" t="inlineStr">
        <is>
          <t>J-CR-3</t>
        </is>
      </c>
    </row>
    <row r="22">
      <c r="A22" s="70" t="inlineStr">
        <is>
          <t>D-021</t>
        </is>
      </c>
      <c r="B22" s="70" t="inlineStr">
        <is>
          <t>Breakage methodology (3rd-party actuary engagement)</t>
        </is>
      </c>
      <c r="C22" s="70" t="inlineStr">
        <is>
          <t>Finance &amp; Accounting</t>
        </is>
      </c>
      <c r="D22" s="70" t="inlineStr">
        <is>
          <t>2026-04-25</t>
        </is>
      </c>
      <c r="E22" s="70" t="inlineStr">
        <is>
          <t>2026-08-31</t>
        </is>
      </c>
      <c r="F22" s="70" t="inlineStr">
        <is>
          <t>Open</t>
        </is>
      </c>
      <c r="G22" s="70" t="inlineStr"/>
      <c r="H22" s="70" t="inlineStr">
        <is>
          <t>215, 222</t>
        </is>
      </c>
      <c r="I22" s="70" t="inlineStr">
        <is>
          <t>FA-ACT-8</t>
        </is>
      </c>
    </row>
    <row r="23">
      <c r="A23" s="70" t="inlineStr">
        <is>
          <t>D-022</t>
        </is>
      </c>
      <c r="B23" s="70" t="inlineStr">
        <is>
          <t>SMS vendor selection (Braze vs. Attentive)</t>
        </is>
      </c>
      <c r="C23" s="70" t="inlineStr">
        <is>
          <t>Marketing (WS13)</t>
        </is>
      </c>
      <c r="D23" s="70" t="inlineStr">
        <is>
          <t>2026-04-25</t>
        </is>
      </c>
      <c r="E23" s="70" t="inlineStr">
        <is>
          <t>2026-06-30</t>
        </is>
      </c>
      <c r="F23" s="70" t="inlineStr">
        <is>
          <t>Open</t>
        </is>
      </c>
      <c r="G23" s="70" t="inlineStr"/>
      <c r="H23" s="70" t="inlineStr">
        <is>
          <t>77, 176, 177, 180</t>
        </is>
      </c>
      <c r="I23" s="70" t="inlineStr">
        <is>
          <t>MC-TMI-2</t>
        </is>
      </c>
    </row>
    <row r="24">
      <c r="A24" s="70" t="inlineStr">
        <is>
          <t>D-023</t>
        </is>
      </c>
      <c r="B24" s="70" t="inlineStr">
        <is>
          <t>Outside-radius delivery override permission model</t>
        </is>
      </c>
      <c r="C24" s="70" t="inlineStr">
        <is>
          <t>Delivery (WS5) + WS17</t>
        </is>
      </c>
      <c r="D24" s="70" t="inlineStr">
        <is>
          <t>2026-04-25</t>
        </is>
      </c>
      <c r="E24" s="70" t="inlineStr">
        <is>
          <t>2026-06-30</t>
        </is>
      </c>
      <c r="F24" s="70" t="inlineStr">
        <is>
          <t>Open</t>
        </is>
      </c>
      <c r="G24" s="70" t="inlineStr"/>
      <c r="H24" s="70" t="inlineStr">
        <is>
          <t>117</t>
        </is>
      </c>
      <c r="I24" s="70" t="inlineStr">
        <is>
          <t>D-S-6</t>
        </is>
      </c>
    </row>
    <row r="25">
      <c r="A25" s="70" t="inlineStr">
        <is>
          <t>D-024</t>
        </is>
      </c>
      <c r="B25" s="70" t="inlineStr">
        <is>
          <t>Bulk pricing override authority and audit trail</t>
        </is>
      </c>
      <c r="C25" s="70" t="inlineStr">
        <is>
          <t>Pricing + WS12</t>
        </is>
      </c>
      <c r="D25" s="70" t="inlineStr">
        <is>
          <t>2026-04-25</t>
        </is>
      </c>
      <c r="E25" s="70" t="inlineStr">
        <is>
          <t>2026-06-15</t>
        </is>
      </c>
      <c r="F25" s="70" t="inlineStr">
        <is>
          <t>Open</t>
        </is>
      </c>
      <c r="G25" s="70" t="inlineStr"/>
      <c r="H25" s="70" t="inlineStr">
        <is>
          <t>164, 87</t>
        </is>
      </c>
      <c r="I25" s="70" t="inlineStr">
        <is>
          <t>PR-BP-9</t>
        </is>
      </c>
    </row>
    <row r="26">
      <c r="A26" s="70" t="inlineStr">
        <is>
          <t>D-025</t>
        </is>
      </c>
      <c r="B26" s="70" t="inlineStr">
        <is>
          <t>Expired F&amp;D Bucks reinstatement override permission scope</t>
        </is>
      </c>
      <c r="C26" s="70" t="inlineStr">
        <is>
          <t>Customer Care + WS17</t>
        </is>
      </c>
      <c r="D26" s="70" t="inlineStr">
        <is>
          <t>2026-04-25</t>
        </is>
      </c>
      <c r="E26" s="70" t="inlineStr">
        <is>
          <t>2026-06-30</t>
        </is>
      </c>
      <c r="F26" s="70" t="inlineStr">
        <is>
          <t>Open</t>
        </is>
      </c>
      <c r="G26" s="70" t="inlineStr"/>
      <c r="H26" s="70" t="inlineStr">
        <is>
          <t>10, 141</t>
        </is>
      </c>
      <c r="I26" s="70" t="inlineStr">
        <is>
          <t>R-GC-6</t>
        </is>
      </c>
    </row>
    <row r="27">
      <c r="A27" s="70" t="inlineStr">
        <is>
          <t>D-026</t>
        </is>
      </c>
      <c r="B27" s="70" t="inlineStr">
        <is>
          <t>BIY (homeowner) exclusion rule from financial award</t>
        </is>
      </c>
      <c r="C27" s="70" t="inlineStr">
        <is>
          <t>Loyalty PM</t>
        </is>
      </c>
      <c r="D27" s="70" t="inlineStr">
        <is>
          <t>2026-04-25</t>
        </is>
      </c>
      <c r="E27" s="70" t="inlineStr">
        <is>
          <t>2026-06-15</t>
        </is>
      </c>
      <c r="F27" s="70" t="inlineStr">
        <is>
          <t>Open</t>
        </is>
      </c>
      <c r="G27" s="70" t="inlineStr"/>
      <c r="H27" s="70" t="inlineStr">
        <is>
          <t>58, 133</t>
        </is>
      </c>
      <c r="I27" s="70" t="inlineStr"/>
    </row>
    <row r="28">
      <c r="A28" s="70" t="inlineStr">
        <is>
          <t>D-027</t>
        </is>
      </c>
      <c r="B28" s="70" t="inlineStr">
        <is>
          <t>CAM admission criteria beyond $250K LTM</t>
        </is>
      </c>
      <c r="C28" s="70" t="inlineStr">
        <is>
          <t>Commercial (Coleen)</t>
        </is>
      </c>
      <c r="D28" s="70" t="inlineStr">
        <is>
          <t>2026-04-25</t>
        </is>
      </c>
      <c r="E28" s="70" t="inlineStr">
        <is>
          <t>2026-07-31</t>
        </is>
      </c>
      <c r="F28" s="70" t="inlineStr">
        <is>
          <t>Open</t>
        </is>
      </c>
      <c r="G28" s="70" t="inlineStr"/>
      <c r="H28" s="70" t="inlineStr">
        <is>
          <t>182, 183, 184</t>
        </is>
      </c>
      <c r="I28" s="70" t="inlineStr">
        <is>
          <t>PPR-AS-9</t>
        </is>
      </c>
    </row>
    <row r="29">
      <c r="A29" s="70" t="inlineStr">
        <is>
          <t>D-028</t>
        </is>
      </c>
      <c r="B29" s="70" t="inlineStr">
        <is>
          <t>FIFO redemption — tiebreaker when one buck nearer expiry than another</t>
        </is>
      </c>
      <c r="C29" s="70" t="inlineStr">
        <is>
          <t>Loyalty PM</t>
        </is>
      </c>
      <c r="D29" s="70" t="inlineStr">
        <is>
          <t>2026-04-25</t>
        </is>
      </c>
      <c r="E29" s="70" t="inlineStr">
        <is>
          <t>2026-06-15</t>
        </is>
      </c>
      <c r="F29" s="70" t="inlineStr">
        <is>
          <t>Open</t>
        </is>
      </c>
      <c r="G29" s="70" t="inlineStr"/>
      <c r="H29" s="70" t="inlineStr">
        <is>
          <t>140</t>
        </is>
      </c>
      <c r="I29" s="70" t="inlineStr">
        <is>
          <t>R-GC-7</t>
        </is>
      </c>
    </row>
    <row r="30">
      <c r="A30" s="70" t="inlineStr">
        <is>
          <t>D-029</t>
        </is>
      </c>
      <c r="B30" s="70" t="inlineStr">
        <is>
          <t>Post-cutoff PPR retro-claim window length</t>
        </is>
      </c>
      <c r="C30" s="70" t="inlineStr">
        <is>
          <t>PPR Transition (WS14)</t>
        </is>
      </c>
      <c r="D30" s="70" t="inlineStr">
        <is>
          <t>2026-04-25</t>
        </is>
      </c>
      <c r="E30" s="70" t="inlineStr">
        <is>
          <t>2026-06-30</t>
        </is>
      </c>
      <c r="F30" s="70" t="inlineStr">
        <is>
          <t>Open</t>
        </is>
      </c>
      <c r="G30" s="70" t="inlineStr"/>
      <c r="H30" s="70" t="inlineStr">
        <is>
          <t>201</t>
        </is>
      </c>
      <c r="I30" s="70" t="inlineStr">
        <is>
          <t>PPR-WD-3</t>
        </is>
      </c>
    </row>
    <row r="31">
      <c r="A31" s="70" t="inlineStr">
        <is>
          <t>D-030</t>
        </is>
      </c>
      <c r="B31" s="70" t="inlineStr">
        <is>
          <t>Sample fulfillment center capacity assumptions for launch</t>
        </is>
      </c>
      <c r="C31" s="70" t="inlineStr">
        <is>
          <t>Samples (WS5)</t>
        </is>
      </c>
      <c r="D31" s="70" t="inlineStr">
        <is>
          <t>2026-04-25</t>
        </is>
      </c>
      <c r="E31" s="70" t="inlineStr">
        <is>
          <t>2026-07-31</t>
        </is>
      </c>
      <c r="F31" s="70" t="inlineStr">
        <is>
          <t>Open</t>
        </is>
      </c>
      <c r="G31" s="70" t="inlineStr"/>
      <c r="H31" s="70" t="inlineStr">
        <is>
          <t>185</t>
        </is>
      </c>
      <c r="I31" s="70" t="inlineStr">
        <is>
          <t>S-6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38" customWidth="1" min="3" max="3"/>
    <col width="40" customWidth="1" min="4" max="4"/>
    <col width="70" customWidth="1" min="5" max="5"/>
    <col width="36" customWidth="1" min="6" max="6"/>
    <col width="12" customWidth="1" min="7" max="7"/>
    <col width="38" customWidth="1" min="8" max="8"/>
  </cols>
  <sheetData>
    <row r="1">
      <c r="A1" s="69" t="inlineStr">
        <is>
          <t>Requirement ID</t>
        </is>
      </c>
      <c r="B1" s="69" t="inlineStr">
        <is>
          <t>Workstream</t>
        </is>
      </c>
      <c r="C1" s="69" t="inlineStr">
        <is>
          <t>Source Document</t>
        </is>
      </c>
      <c r="D1" s="69" t="inlineStr">
        <is>
          <t>Question / Topic</t>
        </is>
      </c>
      <c r="E1" s="69" t="inlineStr">
        <is>
          <t>Response / Conclusion</t>
        </is>
      </c>
      <c r="F1" s="69" t="inlineStr">
        <is>
          <t>Use Case IDs</t>
        </is>
      </c>
      <c r="G1" s="69" t="inlineStr">
        <is>
          <t># Use Cases</t>
        </is>
      </c>
      <c r="H1" s="69" t="inlineStr">
        <is>
          <t>Coverage Status</t>
        </is>
      </c>
    </row>
    <row r="2">
      <c r="A2" s="70" t="inlineStr">
        <is>
          <t>C-1</t>
        </is>
      </c>
      <c r="B2" s="70" t="inlineStr">
        <is>
          <t>Credit</t>
        </is>
      </c>
      <c r="C2" s="70" t="inlineStr">
        <is>
          <t>LEK_FND_ Credit Business Rules &amp; Requirements_v2.docx</t>
        </is>
      </c>
      <c r="D2" s="70" t="inlineStr">
        <is>
          <t>How should the PRO app integrate or link out to credit-related content and application pages?</t>
        </is>
      </c>
      <c r="E2" s="70" t="inlineStr">
        <is>
          <t>The PRO app must provide a clear credit entry point that directs PROs to the appropriate credit information or application destination through an approved link-out or handoff experience. The app must support placement of this entry point in relevant locations, ensure the link routes to the correct destination, and enable basic tracking of engagement with the credit experience.</t>
        </is>
      </c>
      <c r="F2" s="70" t="inlineStr">
        <is>
          <t>109, 111 (Gap &amp; Edge Cases)</t>
        </is>
      </c>
      <c r="G2" s="70" t="n">
        <v>2</v>
      </c>
      <c r="H2" s="70" t="inlineStr">
        <is>
          <t>Covered</t>
        </is>
      </c>
    </row>
    <row r="3">
      <c r="A3" s="70" t="inlineStr">
        <is>
          <t>C-2</t>
        </is>
      </c>
      <c r="B3" s="70" t="inlineStr">
        <is>
          <t>Credit</t>
        </is>
      </c>
      <c r="C3" s="70" t="inlineStr">
        <is>
          <t>LEK_FND_ Credit Business Rules &amp; Requirements_v2.docx</t>
        </is>
      </c>
      <c r="D3" s="70" t="inlineStr">
        <is>
          <t>How should PROs be able to use the app to apply to credit offerings?</t>
        </is>
      </c>
      <c r="E3" s="70" t="inlineStr">
        <is>
          <t>The PRO app must allow PROs to initiate the credit card application flow from within the app through a secure handoff to the credit application experience. The app should enable a seamless transition to the application process, pass available user information where permitted, and support tracking of application starts and related outcomes to the extent feasible.</t>
        </is>
      </c>
      <c r="F3" s="70" t="inlineStr">
        <is>
          <t>110, 111 (Gap &amp; Edge Cases)</t>
        </is>
      </c>
      <c r="G3" s="70" t="n">
        <v>2</v>
      </c>
      <c r="H3" s="70" t="inlineStr">
        <is>
          <t>Covered</t>
        </is>
      </c>
    </row>
    <row r="4">
      <c r="A4" s="70" t="inlineStr">
        <is>
          <t>C-3</t>
        </is>
      </c>
      <c r="B4" s="70" t="inlineStr">
        <is>
          <t>Credit</t>
        </is>
      </c>
      <c r="C4" s="70" t="inlineStr">
        <is>
          <t>LEK_FND_ Credit Business Rules &amp; Requirements_v2.docx</t>
        </is>
      </c>
      <c r="D4" s="70" t="inlineStr">
        <is>
          <t>How will credit offers be applied?</t>
        </is>
      </c>
      <c r="E4" s="70" t="inlineStr">
        <is>
          <t>Credit offers will be determined, managed, and applied through existing credit program systems and processes, independent of the loyalty program and PRO app.</t>
        </is>
      </c>
      <c r="F4" s="70" t="inlineStr"/>
      <c r="G4" s="70" t="n">
        <v>0</v>
      </c>
      <c r="H4" s="70" t="inlineStr">
        <is>
          <t>Out of scope per source</t>
        </is>
      </c>
    </row>
    <row r="5">
      <c r="A5" s="70" t="inlineStr">
        <is>
          <t>D-EM-1</t>
        </is>
      </c>
      <c r="B5" s="70" t="inlineStr">
        <is>
          <t>Delivery</t>
        </is>
      </c>
      <c r="C5" s="70" t="inlineStr">
        <is>
          <t>LEK_FND_ Delivery Business Rules &amp; Requirements_v2.docx</t>
        </is>
      </c>
      <c r="D5" s="70" t="inlineStr">
        <is>
          <t>What defines a “delivery?”</t>
        </is>
      </c>
      <c r="E5" s="70" t="inlineStr">
        <is>
          <t>A delivery is defined as a single fulfilled shipment of an eligible order to a specified jobsite or address, scheduled through the PRO desk and executed by an approved delivery partner. 
Each qualifying order that is scheduled and fulfilled as a single shipment counts as one delivery, regardless of the number of items included.</t>
        </is>
      </c>
      <c r="F5" s="70" t="inlineStr">
        <is>
          <t>112 (Gap &amp; Edge Cases)</t>
        </is>
      </c>
      <c r="G5" s="70" t="n">
        <v>1</v>
      </c>
      <c r="H5" s="70" t="inlineStr">
        <is>
          <t>Covered</t>
        </is>
      </c>
    </row>
    <row r="6">
      <c r="A6" s="70" t="inlineStr">
        <is>
          <t>D-EM-2</t>
        </is>
      </c>
      <c r="B6" s="70" t="inlineStr">
        <is>
          <t>Delivery</t>
        </is>
      </c>
      <c r="C6" s="70" t="inlineStr">
        <is>
          <t>LEK_FND_ Delivery Business Rules &amp; Requirements_v2.docx</t>
        </is>
      </c>
      <c r="D6" s="70" t="inlineStr">
        <is>
          <t>What product categories are eligible for delivery benefits?</t>
        </is>
      </c>
      <c r="E6" s="70" t="inlineStr">
        <is>
          <t>All product categories, except gift cards, are eligible for delivery benefits, provided the order meets the defined eligibility criteria (e.g., minimum order value and delivery radius). 
The loyalty engine must not restrict delivery eligibility by product category, but must ensure that order characteristics (e.g., weight, size, material type) are captured and passed to scheduling workflows to support proper fulfillment.</t>
        </is>
      </c>
      <c r="F6" s="70" t="inlineStr">
        <is>
          <t>113, 124 (Gap &amp; Edge Cases)</t>
        </is>
      </c>
      <c r="G6" s="70" t="n">
        <v>2</v>
      </c>
      <c r="H6" s="70" t="inlineStr">
        <is>
          <t>Covered</t>
        </is>
      </c>
    </row>
    <row r="7">
      <c r="A7" s="70" t="inlineStr">
        <is>
          <t>D-EM-3</t>
        </is>
      </c>
      <c r="B7" s="70" t="inlineStr">
        <is>
          <t>Delivery</t>
        </is>
      </c>
      <c r="C7" s="70" t="inlineStr">
        <is>
          <t>LEK_FND_ Delivery Business Rules &amp; Requirements_v2.docx</t>
        </is>
      </c>
      <c r="D7" s="70" t="inlineStr">
        <is>
          <t>How is delivery eligibility tracked for PROs?</t>
        </is>
      </c>
      <c r="E7" s="70" t="inlineStr">
        <is>
          <t>The loyalty engine must track delivery benefit eligibility at the account level, including tier status and usage of free deliveries in the calendar year to date (for Gold tier) based on transaction data from POS / e-commerce systems.
Transaction-level data from POS must trigger delivery eligibility on orders with gross sales  &gt;$2K for associate visibility.</t>
        </is>
      </c>
      <c r="F7" s="70" t="inlineStr">
        <is>
          <t>63, 64 (Use Cases)</t>
        </is>
      </c>
      <c r="G7" s="70" t="n">
        <v>2</v>
      </c>
      <c r="H7" s="70" t="inlineStr">
        <is>
          <t>Covered</t>
        </is>
      </c>
    </row>
    <row r="8">
      <c r="A8" s="70" t="inlineStr">
        <is>
          <t>D-EM-4</t>
        </is>
      </c>
      <c r="B8" s="70" t="inlineStr">
        <is>
          <t>Delivery</t>
        </is>
      </c>
      <c r="C8" s="70" t="inlineStr">
        <is>
          <t>LEK_FND_ Delivery Business Rules &amp; Requirements_v2.docx</t>
        </is>
      </c>
      <c r="D8" s="70" t="inlineStr">
        <is>
          <t>How are Gold-tier free deliveries tracked and reset?</t>
        </is>
      </c>
      <c r="E8" s="70" t="inlineStr">
        <is>
          <t>Gold tier PROs are limited to 4 free order deliveries per calendar year regardless of date they joined the gold tier. 
The loyalty engine must track the number of free deliveries used by Gold-tier accounts and reset the count at the start of each calendar year. Unused deliveries must not carry over from one year to the next.</t>
        </is>
      </c>
      <c r="F8" s="70" t="inlineStr">
        <is>
          <t>115 (Gap &amp; Edge Cases); 63, 82 (Use Cases)</t>
        </is>
      </c>
      <c r="G8" s="70" t="n">
        <v>3</v>
      </c>
      <c r="H8" s="70" t="inlineStr">
        <is>
          <t>Covered</t>
        </is>
      </c>
    </row>
    <row r="9">
      <c r="A9" s="70" t="inlineStr">
        <is>
          <t>D-EM-5</t>
        </is>
      </c>
      <c r="B9" s="70" t="inlineStr">
        <is>
          <t>Delivery</t>
        </is>
      </c>
      <c r="C9" s="70" t="inlineStr">
        <is>
          <t>LEK_FND_ Delivery Business Rules &amp; Requirements_v2.docx</t>
        </is>
      </c>
      <c r="D9" s="70" t="inlineStr">
        <is>
          <t>What happens when a PRO exhausts their delivery benefit?</t>
        </is>
      </c>
      <c r="E9" s="70" t="inlineStr">
        <is>
          <t>The loyalty engine must block free delivery eligibility once the Gold-tier delivery quota is exhausted for the calendar year, and must flag via integration at  POS / PRO desk to not allow the free delivery on subsequent orders.
PROs remain eligible to pay for delivery on any transaction should they desire.</t>
        </is>
      </c>
      <c r="F9" s="70" t="inlineStr">
        <is>
          <t>116 (Gap &amp; Edge Cases); 82 (Use Cases)</t>
        </is>
      </c>
      <c r="G9" s="70" t="n">
        <v>2</v>
      </c>
      <c r="H9" s="70" t="inlineStr">
        <is>
          <t>Covered</t>
        </is>
      </c>
    </row>
    <row r="10">
      <c r="A10" s="70" t="inlineStr">
        <is>
          <t>D-EM-6</t>
        </is>
      </c>
      <c r="B10" s="70" t="inlineStr">
        <is>
          <t>Delivery</t>
        </is>
      </c>
      <c r="C10" s="70" t="inlineStr">
        <is>
          <t>LEK_FND_ Delivery Business Rules &amp; Requirements_v2.docx</t>
        </is>
      </c>
      <c r="D10" s="70" t="inlineStr">
        <is>
          <t>How is delivery eligibility validated by store associates?</t>
        </is>
      </c>
      <c r="E10" s="70" t="inlineStr">
        <is>
          <t>The POS Associate interface must detail the tier and delivery benefit eligibility for each PRO (at register and PRO desk).
POS also must support an Associate marking off a PRO in a qualifying tier electing free delivery for their products. The usage needs to subtract from their yearly allotted benefit total if the PRO is in the Gold tier and be marked accordingly in the POS / CRM systems. Associates at the PRO desk will then coordinate with their local delivery partners to help schedule PRO deliveries.</t>
        </is>
      </c>
      <c r="F10" s="70" t="inlineStr">
        <is>
          <t>145 (Gap &amp; Edge Cases); 62 (Use Cases)</t>
        </is>
      </c>
      <c r="G10" s="70" t="n">
        <v>2</v>
      </c>
      <c r="H10" s="70" t="inlineStr">
        <is>
          <t>Covered</t>
        </is>
      </c>
    </row>
    <row r="11">
      <c r="A11" s="70" t="inlineStr">
        <is>
          <t>D-EM-7</t>
        </is>
      </c>
      <c r="B11" s="70" t="inlineStr">
        <is>
          <t>Delivery</t>
        </is>
      </c>
      <c r="C11" s="70" t="inlineStr">
        <is>
          <t>LEK_FND_ Delivery Business Rules &amp; Requirements_v2.docx</t>
        </is>
      </c>
      <c r="D11" s="70" t="inlineStr">
        <is>
          <t>When is delivery eligibility determined?</t>
        </is>
      </c>
      <c r="E11" s="70" t="inlineStr">
        <is>
          <t>Delivery eligibility must be evaluated at both online checkout and in-store checkout (POS) using transaction data and account eligibility from the loyalty engine.</t>
        </is>
      </c>
      <c r="F11" s="70" t="inlineStr">
        <is>
          <t>15, 62, 64, 106 (Use Cases)</t>
        </is>
      </c>
      <c r="G11" s="70" t="n">
        <v>4</v>
      </c>
      <c r="H11" s="70" t="inlineStr">
        <is>
          <t>Covered</t>
        </is>
      </c>
    </row>
    <row r="12">
      <c r="A12" s="70" t="inlineStr">
        <is>
          <t>D-EM-8</t>
        </is>
      </c>
      <c r="B12" s="70" t="inlineStr">
        <is>
          <t>Delivery</t>
        </is>
      </c>
      <c r="C12" s="70" t="inlineStr">
        <is>
          <t>LEK_FND_ Delivery Business Rules &amp; Requirements_v2.docx</t>
        </is>
      </c>
      <c r="D12" s="70" t="inlineStr">
        <is>
          <t>What happens if an order falls below the $2K threshold due to returns, item replacements, or order edits before fulfillment?</t>
        </is>
      </c>
      <c r="E12" s="70" t="inlineStr">
        <is>
          <t>The POS system must reevaluate the transaction against eligibility rules, and the loyalty engine must remove the free delivery benefit if net eligible spend drops below $2K at any point prior to fulfillment.</t>
        </is>
      </c>
      <c r="F12" s="70" t="inlineStr">
        <is>
          <t>114 (Gap &amp; Edge Cases)</t>
        </is>
      </c>
      <c r="G12" s="70" t="n">
        <v>1</v>
      </c>
      <c r="H12" s="70" t="inlineStr">
        <is>
          <t>Covered</t>
        </is>
      </c>
    </row>
    <row r="13">
      <c r="A13" s="70" t="inlineStr">
        <is>
          <t>D-EM-9</t>
        </is>
      </c>
      <c r="B13" s="70" t="inlineStr">
        <is>
          <t>Delivery</t>
        </is>
      </c>
      <c r="C13" s="70" t="inlineStr">
        <is>
          <t>LEK_FND_ Delivery Business Rules &amp; Requirements_v2.docx</t>
        </is>
      </c>
      <c r="D13" s="70" t="inlineStr">
        <is>
          <t>How is the $2K threshold defined for delivery eligibility?</t>
        </is>
      </c>
      <c r="E13" s="70" t="inlineStr">
        <is>
          <t>The loyalty engine must calculate eligibility using the same net eligible spend logic as financial rewards (excluding gift cards and adjusted for returns), evaluated on a pre-tax basis using data from the POS / e-commerce systems.</t>
        </is>
      </c>
      <c r="F13" s="70" t="inlineStr">
        <is>
          <t>113 (Gap &amp; Edge Cases); 64 (Use Cases)</t>
        </is>
      </c>
      <c r="G13" s="70" t="n">
        <v>2</v>
      </c>
      <c r="H13" s="70" t="inlineStr">
        <is>
          <t>Covered</t>
        </is>
      </c>
    </row>
    <row r="14">
      <c r="A14" s="70" t="inlineStr">
        <is>
          <t>D-EM-10</t>
        </is>
      </c>
      <c r="B14" s="70" t="inlineStr">
        <is>
          <t>Delivery</t>
        </is>
      </c>
      <c r="C14" s="70" t="inlineStr">
        <is>
          <t>LEK_FND_ Delivery Business Rules &amp; Requirements_v2.docx</t>
        </is>
      </c>
      <c r="D14" s="70" t="inlineStr">
        <is>
          <t>How are delivery eligibility rules applied across channels?</t>
        </is>
      </c>
      <c r="E14" s="70" t="inlineStr">
        <is>
          <t>All eligible transactions from POS (in-store) and e-commerce platforms must be evaluated consistently by the loyalty engine, with delivery eligibility tied to the PRO account regardless of purchase channel.</t>
        </is>
      </c>
      <c r="F14" s="70" t="inlineStr">
        <is>
          <t>15, 106 (Use Cases)</t>
        </is>
      </c>
      <c r="G14" s="70" t="n">
        <v>2</v>
      </c>
      <c r="H14" s="70" t="inlineStr">
        <is>
          <t>Covered</t>
        </is>
      </c>
    </row>
    <row r="15">
      <c r="A15" s="70" t="inlineStr">
        <is>
          <t>D-EM-11</t>
        </is>
      </c>
      <c r="B15" s="70" t="inlineStr">
        <is>
          <t>Delivery</t>
        </is>
      </c>
      <c r="C15" s="70" t="inlineStr">
        <is>
          <t>LEK_FND_ Delivery Business Rules &amp; Requirements_v2.docx</t>
        </is>
      </c>
      <c r="D15" s="70" t="inlineStr">
        <is>
          <t>How will the program support PROs that want an elevated service level?</t>
        </is>
      </c>
      <c r="E15" s="70" t="inlineStr">
        <is>
          <t>Depending on the local store’s ability to meet PRO demand for heightened delivery service (whether white glove, faster timeframe, or greater distance), PROs should be accommodated, but additional fees to cover the added cost of this service may be required.
Exact cost structure of added delivery service level to be detailed by the working team in later sessions and enforced after launch. Service may fluctuate depending on localized delivery solutions.</t>
        </is>
      </c>
      <c r="F15" s="70" t="inlineStr">
        <is>
          <t>123 (Gap &amp; Edge Cases)</t>
        </is>
      </c>
      <c r="G15" s="70" t="n">
        <v>1</v>
      </c>
      <c r="H15" s="70" t="inlineStr">
        <is>
          <t>Covered</t>
        </is>
      </c>
    </row>
    <row r="16">
      <c r="A16" s="70" t="inlineStr">
        <is>
          <t>D-IT-1</t>
        </is>
      </c>
      <c r="B16" s="70" t="inlineStr">
        <is>
          <t>Delivery</t>
        </is>
      </c>
      <c r="C16" s="70" t="inlineStr">
        <is>
          <t>LEK_FND_ Delivery Business Rules &amp; Requirements_v2.docx</t>
        </is>
      </c>
      <c r="D16" s="70" t="inlineStr">
        <is>
          <t>Will in-store transfers count against a PRO’s free delivery allowance?</t>
        </is>
      </c>
      <c r="E16" s="70" t="inlineStr">
        <is>
          <t>In-store transfers will not count against a Gold tier PRO’s delivery allowance. 
If a PRO wants product delivered that is not available in their home / closest store, F&amp;D should seek to fulfill order from store or distribution center where all products are in stock.</t>
        </is>
      </c>
      <c r="F16" s="70" t="inlineStr">
        <is>
          <t>119 (Gap &amp; Edge Cases)</t>
        </is>
      </c>
      <c r="G16" s="70" t="n">
        <v>1</v>
      </c>
      <c r="H16" s="70" t="inlineStr">
        <is>
          <t>Covered</t>
        </is>
      </c>
    </row>
    <row r="17">
      <c r="A17" s="70" t="inlineStr">
        <is>
          <t>D-IT-2</t>
        </is>
      </c>
      <c r="B17" s="70" t="inlineStr">
        <is>
          <t>Delivery</t>
        </is>
      </c>
      <c r="C17" s="70" t="inlineStr">
        <is>
          <t>LEK_FND_ Delivery Business Rules &amp; Requirements_v2.docx</t>
        </is>
      </c>
      <c r="D17" s="70" t="inlineStr">
        <is>
          <t>How is inventory validated for delivery orders?</t>
        </is>
      </c>
      <c r="E17" s="70" t="inlineStr">
        <is>
          <t>As per current process, the order management system (OMS) must validate product availability at the originating store and pass inventory status to the loyalty workflow to confirm delivery feasibility at time of scheduling.
Inventory and order management will remain unchanged from the current process.</t>
        </is>
      </c>
      <c r="F17" s="70" t="inlineStr"/>
      <c r="G17" s="70" t="n">
        <v>0</v>
      </c>
      <c r="H17" s="70" t="inlineStr">
        <is>
          <t>Out of scope per source</t>
        </is>
      </c>
    </row>
    <row r="18">
      <c r="A18" s="70" t="inlineStr">
        <is>
          <t>D-IT-3</t>
        </is>
      </c>
      <c r="B18" s="70" t="inlineStr">
        <is>
          <t>Delivery</t>
        </is>
      </c>
      <c r="C18" s="70" t="inlineStr">
        <is>
          <t>LEK_FND_ Delivery Business Rules &amp; Requirements_v2.docx</t>
        </is>
      </c>
      <c r="D18" s="70" t="inlineStr">
        <is>
          <t>How is the 7-day delivery requirement enforced when product is not in stock from the PRO’s home store?</t>
        </is>
      </c>
      <c r="E18" s="70" t="inlineStr">
        <is>
          <t>The inventory and order management systems must ensure sourcing within a 7-day window by utilizing distribution centers and store locations within a 60 mile radius from delivery address.</t>
        </is>
      </c>
      <c r="F18" s="70" t="inlineStr">
        <is>
          <t>120 (Gap &amp; Edge Cases)</t>
        </is>
      </c>
      <c r="G18" s="70" t="n">
        <v>1</v>
      </c>
      <c r="H18" s="70" t="inlineStr">
        <is>
          <t>Covered</t>
        </is>
      </c>
    </row>
    <row r="19">
      <c r="A19" s="70" t="inlineStr">
        <is>
          <t>D-IT-4</t>
        </is>
      </c>
      <c r="B19" s="70" t="inlineStr">
        <is>
          <t>Delivery</t>
        </is>
      </c>
      <c r="C19" s="70" t="inlineStr">
        <is>
          <t>LEK_FND_ Delivery Business Rules &amp; Requirements_v2.docx</t>
        </is>
      </c>
      <c r="D19" s="70" t="inlineStr">
        <is>
          <t>How will stores prioritize PRO fulfillment on free delivery?</t>
        </is>
      </c>
      <c r="E19" s="70" t="inlineStr">
        <is>
          <t>For Full Launch, fulfillment will still be a manual associate-led process, however StorageBuy must populate the ordering PRO account’s tier status to inform prioritization.</t>
        </is>
      </c>
      <c r="F19" s="70" t="inlineStr">
        <is>
          <t>122 (Gap &amp; Edge Cases)</t>
        </is>
      </c>
      <c r="G19" s="70" t="n">
        <v>1</v>
      </c>
      <c r="H19" s="70" t="inlineStr">
        <is>
          <t>Covered</t>
        </is>
      </c>
    </row>
    <row r="20">
      <c r="A20" s="70" t="inlineStr">
        <is>
          <t>D-S-1</t>
        </is>
      </c>
      <c r="B20" s="70" t="inlineStr">
        <is>
          <t>Delivery</t>
        </is>
      </c>
      <c r="C20" s="70" t="inlineStr">
        <is>
          <t>LEK_FND_ Delivery Business Rules &amp; Requirements_v2.docx</t>
        </is>
      </c>
      <c r="D20" s="70" t="inlineStr">
        <is>
          <t>How are free delivery orders scheduled at launch?</t>
        </is>
      </c>
      <c r="E20" s="70" t="inlineStr">
        <is>
          <t>Delivery scheduling will remain unchanged from the current process.</t>
        </is>
      </c>
      <c r="F20" s="70" t="inlineStr">
        <is>
          <t>65 (Use Cases)</t>
        </is>
      </c>
      <c r="G20" s="70" t="n">
        <v>1</v>
      </c>
      <c r="H20" s="70" t="inlineStr">
        <is>
          <t>Covered</t>
        </is>
      </c>
    </row>
    <row r="21">
      <c r="A21" s="70" t="inlineStr">
        <is>
          <t>D-S-2</t>
        </is>
      </c>
      <c r="B21" s="70" t="inlineStr">
        <is>
          <t>Delivery</t>
        </is>
      </c>
      <c r="C21" s="70" t="inlineStr">
        <is>
          <t>LEK_FND_ Delivery Business Rules &amp; Requirements_v2.docx</t>
        </is>
      </c>
      <c r="D21" s="70" t="inlineStr">
        <is>
          <t>How is a delivery order linked to a PRO account?</t>
        </is>
      </c>
      <c r="E21" s="70" t="inlineStr">
        <is>
          <t>The POS system must associate the transaction with a verified PRO account ID and pass this information to the PRO desk workflow to ensure delivery details, provided benefits, and scheduling are correctly.</t>
        </is>
      </c>
      <c r="F21" s="70" t="inlineStr">
        <is>
          <t>15, 62 (Use Cases)</t>
        </is>
      </c>
      <c r="G21" s="70" t="n">
        <v>2</v>
      </c>
      <c r="H21" s="70" t="inlineStr">
        <is>
          <t>Covered</t>
        </is>
      </c>
    </row>
    <row r="22">
      <c r="A22" s="70" t="inlineStr">
        <is>
          <t>D-S-5</t>
        </is>
      </c>
      <c r="B22" s="70" t="inlineStr">
        <is>
          <t>Delivery</t>
        </is>
      </c>
      <c r="C22" s="70" t="inlineStr">
        <is>
          <t>LEK_FND_ Delivery Business Rules &amp; Requirements_v2.docx</t>
        </is>
      </c>
      <c r="D22" s="70" t="inlineStr">
        <is>
          <t>Is the 7-day delivery window a target or requirement?</t>
        </is>
      </c>
      <c r="E22" s="70" t="inlineStr">
        <is>
          <t>The delivery process must enforce a 7-day delivery window as a guaranteed service level, and scheduling must align to meet this requirement.</t>
        </is>
      </c>
      <c r="F22" s="70" t="inlineStr">
        <is>
          <t>121 (Gap &amp; Edge Cases)</t>
        </is>
      </c>
      <c r="G22" s="70" t="n">
        <v>1</v>
      </c>
      <c r="H22" s="70" t="inlineStr">
        <is>
          <t>Covered</t>
        </is>
      </c>
    </row>
    <row r="23">
      <c r="A23" s="70" t="inlineStr">
        <is>
          <t>D-S-6</t>
        </is>
      </c>
      <c r="B23" s="70" t="inlineStr">
        <is>
          <t>Delivery</t>
        </is>
      </c>
      <c r="C23" s="70" t="inlineStr">
        <is>
          <t>LEK_FND_ Delivery Business Rules &amp; Requirements_v2.docx</t>
        </is>
      </c>
      <c r="D23" s="70" t="inlineStr">
        <is>
          <t>How is delivery radius enforced?</t>
        </is>
      </c>
      <c r="E23" s="70" t="inlineStr">
        <is>
          <t>The POS / scheduling workflow must validate that delivery locations fall within a 60-mile radius of the originating store and block eligibility outside this range, with controlled override capability based on user permissions.
Free delivery will be honored regardless of where the order is fulfilled from (e.g., if the PRO places at store A to a delivery location within 60 miles of Store A, but the order is fulfilled from store B which is 100 miles from the delivery location, the delivery should still be fulfilled for free).</t>
        </is>
      </c>
      <c r="F23" s="70" t="inlineStr">
        <is>
          <t>117, 118 (Gap &amp; Edge Cases)</t>
        </is>
      </c>
      <c r="G23" s="70" t="n">
        <v>2</v>
      </c>
      <c r="H23" s="70" t="inlineStr">
        <is>
          <t>Covered</t>
        </is>
      </c>
    </row>
    <row r="24">
      <c r="A24" s="70" t="inlineStr">
        <is>
          <t>D-S-7</t>
        </is>
      </c>
      <c r="B24" s="70" t="inlineStr">
        <is>
          <t>Delivery</t>
        </is>
      </c>
      <c r="C24" s="70" t="inlineStr">
        <is>
          <t>LEK_FND_ Delivery Business Rules &amp; Requirements_v2.docx</t>
        </is>
      </c>
      <c r="D24" s="70" t="inlineStr">
        <is>
          <t>What is the PRO-facing delivery experience at launch?</t>
        </is>
      </c>
      <c r="E24" s="70" t="inlineStr">
        <is>
          <t>At launch, the delivery request and scheduling process must be handled entirely through store associates at the PRO desk, with no direct in-app scheduling capability.</t>
        </is>
      </c>
      <c r="F24" s="70" t="inlineStr">
        <is>
          <t>65 (Use Cases)</t>
        </is>
      </c>
      <c r="G24" s="70" t="n">
        <v>1</v>
      </c>
      <c r="H24" s="70" t="inlineStr">
        <is>
          <t>Covered</t>
        </is>
      </c>
    </row>
    <row r="25">
      <c r="A25" s="70" t="inlineStr">
        <is>
          <t>J-GC-1</t>
        </is>
      </c>
      <c r="B25" s="70" t="inlineStr">
        <is>
          <t>Financial Award</t>
        </is>
      </c>
      <c r="C25" s="70" t="inlineStr">
        <is>
          <t>LEK_FND_ Financial Award Business Rules &amp; Requirements_v4.docx</t>
        </is>
      </c>
      <c r="D25" s="70" t="inlineStr">
        <is>
          <t>What reward type do PROs receive upon initial enrollment?</t>
        </is>
      </c>
      <c r="E25" s="70" t="inlineStr">
        <is>
          <t>The CRM / loyalty engine must assign all newly enrolled PRO accounts to Red tier upon account creation and restrict financial reward eligibility (F&amp;D Bucks and rebate) until the account meets the Silver tier threshold based on tracked spend from POS transaction feeds / online spend. This applies to normal account sign-ups and not former PPR accounts seeded into the new program.</t>
        </is>
      </c>
      <c r="F25" s="70" t="inlineStr">
        <is>
          <t>130 (Gap &amp; Edge Cases); 6 (Use Cases)</t>
        </is>
      </c>
      <c r="G25" s="70" t="n">
        <v>2</v>
      </c>
      <c r="H25" s="70" t="inlineStr">
        <is>
          <t>Covered</t>
        </is>
      </c>
    </row>
    <row r="26">
      <c r="A26" s="70" t="inlineStr">
        <is>
          <t>J-GC-2</t>
        </is>
      </c>
      <c r="B26" s="70" t="inlineStr">
        <is>
          <t>Financial Award</t>
        </is>
      </c>
      <c r="C26" s="70" t="inlineStr">
        <is>
          <t>LEK_FND_ Financial Award Business Rules &amp; Requirements_v4.docx</t>
        </is>
      </c>
      <c r="D26" s="70" t="inlineStr">
        <is>
          <t>What reward type applies at Silver tier?</t>
        </is>
      </c>
      <c r="E26" s="70" t="inlineStr">
        <is>
          <t>The loyalty engine must automatically assign F&amp;D Bucks as the default reward type when an account reaches Silver tier. No selection workflow should be triggered in the PRO app, and the assigned reward type must be stored at the account level in the CRM.</t>
        </is>
      </c>
      <c r="F26" s="70" t="inlineStr">
        <is>
          <t>2 (Use Cases)</t>
        </is>
      </c>
      <c r="G26" s="70" t="n">
        <v>1</v>
      </c>
      <c r="H26" s="70" t="inlineStr">
        <is>
          <t>Covered</t>
        </is>
      </c>
    </row>
    <row r="27">
      <c r="A27" s="70" t="inlineStr">
        <is>
          <t>J-GC-3</t>
        </is>
      </c>
      <c r="B27" s="70" t="inlineStr">
        <is>
          <t>Financial Award</t>
        </is>
      </c>
      <c r="C27" s="70" t="inlineStr">
        <is>
          <t>LEK_FND_ Financial Award Business Rules &amp; Requirements_v4.docx</t>
        </is>
      </c>
      <c r="D27" s="70" t="inlineStr">
        <is>
          <t>Can PROs opt out of F&amp;D Bucks at Silver tier?</t>
        </is>
      </c>
      <c r="E27" s="70" t="inlineStr"/>
      <c r="F27" s="70" t="inlineStr"/>
      <c r="G27" s="70" t="n">
        <v>0</v>
      </c>
      <c r="H27" s="70" t="inlineStr">
        <is>
          <t>Open Question — no rule defined in source</t>
        </is>
      </c>
    </row>
    <row r="28">
      <c r="A28" s="70" t="inlineStr">
        <is>
          <t>J-GC-4</t>
        </is>
      </c>
      <c r="B28" s="70" t="inlineStr">
        <is>
          <t>Financial Award</t>
        </is>
      </c>
      <c r="C28" s="70" t="inlineStr">
        <is>
          <t>LEK_FND_ Financial Award Business Rules &amp; Requirements_v4.docx</t>
        </is>
      </c>
      <c r="D28" s="70" t="inlineStr">
        <is>
          <t>What happens if a PRO moves from Silver to Gold?</t>
        </is>
      </c>
      <c r="E28" s="70" t="inlineStr">
        <is>
          <t>The loyalty engine must detect when cumulative spend (from POS / app / desktop feeds) cross Gold tier threshold. If the PRO does not select rebate or no selection is made, F&amp;D Bucks issuance must continue under Gold-tier rules, including updated accrual bands.</t>
        </is>
      </c>
      <c r="F28" s="70" t="inlineStr">
        <is>
          <t>131 (Gap &amp; Edge Cases); 11 (Use Cases)</t>
        </is>
      </c>
      <c r="G28" s="70" t="n">
        <v>2</v>
      </c>
      <c r="H28" s="70" t="inlineStr">
        <is>
          <t>Covered</t>
        </is>
      </c>
    </row>
    <row r="29">
      <c r="A29" s="70" t="inlineStr">
        <is>
          <t>J-GC-5</t>
        </is>
      </c>
      <c r="B29" s="70" t="inlineStr">
        <is>
          <t>Financial Award</t>
        </is>
      </c>
      <c r="C29" s="70" t="inlineStr">
        <is>
          <t>LEK_FND_ Financial Award Business Rules &amp; Requirements_v4.docx</t>
        </is>
      </c>
      <c r="D29" s="70" t="inlineStr">
        <is>
          <t>What happens if a PRO moves from Gold to Platinum?</t>
        </is>
      </c>
      <c r="E29" s="70" t="inlineStr">
        <is>
          <t>The loyalty engine must detect when cumulative spend (from POS / app / desktop feeds) cross Platinum tier threshold. If the PRO does not select rebate or no selection is made, F&amp;D Bucks issuance must continue under Platinum-tier rules, including updated accrual bands and redemption values.</t>
        </is>
      </c>
      <c r="F29" s="70" t="inlineStr">
        <is>
          <t>11 (Use Cases)</t>
        </is>
      </c>
      <c r="G29" s="70" t="n">
        <v>1</v>
      </c>
      <c r="H29" s="70" t="inlineStr">
        <is>
          <t>Covered</t>
        </is>
      </c>
    </row>
    <row r="30">
      <c r="A30" s="70" t="inlineStr">
        <is>
          <t>J-GC-6</t>
        </is>
      </c>
      <c r="B30" s="70" t="inlineStr">
        <is>
          <t>Financial Award</t>
        </is>
      </c>
      <c r="C30" s="70" t="inlineStr">
        <is>
          <t>LEK_FND_ Financial Award Business Rules &amp; Requirements_v4.docx</t>
        </is>
      </c>
      <c r="D30" s="70" t="inlineStr">
        <is>
          <t>What happens if a PRO moves from Gold or Platinum to Silver?</t>
        </is>
      </c>
      <c r="E30" s="70" t="inlineStr">
        <is>
          <t>The loyalty engine / CRM must determine tier status at the start of the new calendar year based on prior-year spend and assign the PRO to Silver tier if thresholds are not met. Upon downgrade, the system must enforce F&amp;D Bucks as the only reward type and apply Silver-tier F&amp;D Bucks rules, including accrual bands and redemption values (as needed).
All F&amp;D Bucks issued in prior periods must remain valid and unchanged, and all new spend in the current year must follow Silver-tier F&amp;D Bucks accrual rules until PRO crosses Gold or Platinum thresholds.</t>
        </is>
      </c>
      <c r="F30" s="70" t="inlineStr">
        <is>
          <t>194 (Gap &amp; Edge Cases); 3, 12 (Use Cases)</t>
        </is>
      </c>
      <c r="G30" s="70" t="n">
        <v>3</v>
      </c>
      <c r="H30" s="70" t="inlineStr">
        <is>
          <t>Covered</t>
        </is>
      </c>
    </row>
    <row r="31">
      <c r="A31" s="70" t="inlineStr">
        <is>
          <t>J-GC-7</t>
        </is>
      </c>
      <c r="B31" s="70" t="inlineStr">
        <is>
          <t>Financial Award</t>
        </is>
      </c>
      <c r="C31" s="70" t="inlineStr">
        <is>
          <t>LEK_FND_ Financial Award Business Rules &amp; Requirements_v4.docx</t>
        </is>
      </c>
      <c r="D31" s="70" t="inlineStr">
        <is>
          <t>Who receives issued F&amp;D Bucks?</t>
        </is>
      </c>
      <c r="E31" s="70" t="inlineStr">
        <is>
          <t>The loyalty engine must issue all earned F&amp;D Bucks to the account primary and pass them to the PRO app digital wallet for storage and display. The CRM must define and maintain the account primary designation who may access the F&amp;D bucks and provide access to F&amp;D bucks for delegates.</t>
        </is>
      </c>
      <c r="F31" s="70" t="inlineStr">
        <is>
          <t>56 (Use Cases)</t>
        </is>
      </c>
      <c r="G31" s="70" t="n">
        <v>1</v>
      </c>
      <c r="H31" s="70" t="inlineStr">
        <is>
          <t>Covered</t>
        </is>
      </c>
    </row>
    <row r="32">
      <c r="A32" s="70" t="inlineStr">
        <is>
          <t>J-GC-8</t>
        </is>
      </c>
      <c r="B32" s="70" t="inlineStr">
        <is>
          <t>Financial Award</t>
        </is>
      </c>
      <c r="C32" s="70" t="inlineStr">
        <is>
          <t>LEK_FND_ Financial Award Business Rules &amp; Requirements_v4.docx</t>
        </is>
      </c>
      <c r="D32" s="70" t="inlineStr">
        <is>
          <t>Can delegate accounts (as defined by CRM requirements documentation) access or redeem F&amp;D Bucks?</t>
        </is>
      </c>
      <c r="E32" s="70" t="inlineStr">
        <is>
          <t>By default, the PRO app and loyalty engine must restrict F&amp;D Bucks visibility and redemption to the account primary. The PRO app must allow the account primary to share or assign F&amp;D Bucks access to delegate users on the account (as defined by CRM requirements documentation) via a controlled mechanism (e.g., exposing a F&amp;D Bucks code), while the loyalty engine maintains tracking of issuance and redemption at the account level.</t>
        </is>
      </c>
      <c r="F32" s="70" t="inlineStr">
        <is>
          <t>160 (Gap &amp; Edge Cases); 20, 21, 22, 24, 25, 41, 42, 43 (Use Cases)</t>
        </is>
      </c>
      <c r="G32" s="70" t="n">
        <v>9</v>
      </c>
      <c r="H32" s="70" t="inlineStr">
        <is>
          <t>Covered</t>
        </is>
      </c>
    </row>
    <row r="33">
      <c r="A33" s="70" t="inlineStr">
        <is>
          <t>J-CR-1</t>
        </is>
      </c>
      <c r="B33" s="70" t="inlineStr">
        <is>
          <t>Financial Award</t>
        </is>
      </c>
      <c r="C33" s="70" t="inlineStr">
        <is>
          <t>LEK_FND_ Financial Award Business Rules &amp; Requirements_v4.docx</t>
        </is>
      </c>
      <c r="D33" s="70" t="inlineStr">
        <is>
          <t>When can a PRO select cash-back rebate as their reward type?</t>
        </is>
      </c>
      <c r="E33" s="70" t="inlineStr">
        <is>
          <t>The CRM / loyalty engine must trigger and record reward selection event made in PRO app when an account enters Gold or Platinum tier or begins the calendar year in those tiers (based on prior-year spend).</t>
        </is>
      </c>
      <c r="F33" s="70" t="inlineStr">
        <is>
          <t>193 (Gap &amp; Edge Cases); 54 (Use Cases)</t>
        </is>
      </c>
      <c r="G33" s="70" t="n">
        <v>2</v>
      </c>
      <c r="H33" s="70" t="inlineStr">
        <is>
          <t>Covered</t>
        </is>
      </c>
    </row>
    <row r="34">
      <c r="A34" s="70" t="inlineStr">
        <is>
          <t>J-CR-2</t>
        </is>
      </c>
      <c r="B34" s="70" t="inlineStr">
        <is>
          <t>Financial Award</t>
        </is>
      </c>
      <c r="C34" s="70" t="inlineStr">
        <is>
          <t>LEK_FND_ Financial Award Business Rules &amp; Requirements_v4.docx</t>
        </is>
      </c>
      <c r="D34" s="70" t="inlineStr">
        <is>
          <t>Who is allowed to select the reward type?</t>
        </is>
      </c>
      <c r="E34" s="70" t="inlineStr">
        <is>
          <t>Only the designated account primary can select or update the reward type for the account. Delegate accounts (as defined by CRM requirements documentation) may not select the reward type. Loyalty engine must designate a single account primary with permission to select reward type.</t>
        </is>
      </c>
      <c r="F34" s="70" t="inlineStr">
        <is>
          <t>26, 54 (Use Cases)</t>
        </is>
      </c>
      <c r="G34" s="70" t="n">
        <v>2</v>
      </c>
      <c r="H34" s="70" t="inlineStr">
        <is>
          <t>Covered</t>
        </is>
      </c>
    </row>
    <row r="35">
      <c r="A35" s="70" t="inlineStr">
        <is>
          <t>J-CR-3</t>
        </is>
      </c>
      <c r="B35" s="70" t="inlineStr">
        <is>
          <t>Financial Award</t>
        </is>
      </c>
      <c r="C35" s="70" t="inlineStr">
        <is>
          <t>LEK_FND_ Financial Award Business Rules &amp; Requirements_v4.docx</t>
        </is>
      </c>
      <c r="D35" s="70" t="inlineStr">
        <is>
          <t>What happens if a PRO does not make a selection when joining Gold or Platinum tiers / at award reelection at start of new year?</t>
        </is>
      </c>
      <c r="E35" s="70" t="inlineStr">
        <is>
          <t>The loyalty engine must track the selection window and automatically assign F&amp;D Bucks as the default reward type if no selection is recorded. The CRM must store the final assigned reward type at the account level following each selection.</t>
        </is>
      </c>
      <c r="F35" s="70" t="inlineStr">
        <is>
          <t>136, 193 (Gap &amp; Edge Cases); 55 (Use Cases)</t>
        </is>
      </c>
      <c r="G35" s="70" t="n">
        <v>3</v>
      </c>
      <c r="H35" s="70" t="inlineStr">
        <is>
          <t>Covered</t>
        </is>
      </c>
    </row>
    <row r="36">
      <c r="A36" s="70" t="inlineStr">
        <is>
          <t>J-CR-4</t>
        </is>
      </c>
      <c r="B36" s="70" t="inlineStr">
        <is>
          <t>Financial Award</t>
        </is>
      </c>
      <c r="C36" s="70" t="inlineStr">
        <is>
          <t>LEK_FND_ Financial Award Business Rules &amp; Requirements_v4.docx</t>
        </is>
      </c>
      <c r="D36" s="70" t="inlineStr">
        <is>
          <t>What happens if a PRO moves from Silver to Gold?</t>
        </is>
      </c>
      <c r="E36" s="70" t="inlineStr"/>
      <c r="F36" s="70" t="inlineStr"/>
      <c r="G36" s="70" t="n">
        <v>0</v>
      </c>
      <c r="H36" s="70" t="inlineStr">
        <is>
          <t>Open Question — no rule defined in source</t>
        </is>
      </c>
    </row>
    <row r="37">
      <c r="A37" s="70" t="inlineStr">
        <is>
          <t>J-CR-5</t>
        </is>
      </c>
      <c r="B37" s="70" t="inlineStr">
        <is>
          <t>Financial Award</t>
        </is>
      </c>
      <c r="C37" s="70" t="inlineStr">
        <is>
          <t>LEK_FND_ Financial Award Business Rules &amp; Requirements_v4.docx</t>
        </is>
      </c>
      <c r="D37" s="70" t="inlineStr">
        <is>
          <t>What happens if a PRO moves from Gold to Platinum?</t>
        </is>
      </c>
      <c r="E37" s="70" t="inlineStr">
        <is>
          <t>PROs must be prompted to make a new reward selection upon entering Platinum; prior Gold selections remain unchanged for earlier spend.</t>
        </is>
      </c>
      <c r="F37" s="70" t="inlineStr">
        <is>
          <t>195 (Gap &amp; Edge Cases)</t>
        </is>
      </c>
      <c r="G37" s="70" t="n">
        <v>1</v>
      </c>
      <c r="H37" s="70" t="inlineStr">
        <is>
          <t>Covered</t>
        </is>
      </c>
    </row>
    <row r="38">
      <c r="A38" s="70" t="inlineStr">
        <is>
          <t>J-CR-6</t>
        </is>
      </c>
      <c r="B38" s="70" t="inlineStr">
        <is>
          <t>Financial Award</t>
        </is>
      </c>
      <c r="C38" s="70" t="inlineStr">
        <is>
          <t>LEK_FND_ Financial Award Business Rules &amp; Requirements_v4.docx</t>
        </is>
      </c>
      <c r="D38" s="70" t="inlineStr">
        <is>
          <t>What happens if a PRO joins and moves from Red tier to Gold tier or Silver tier to platinum tier?</t>
        </is>
      </c>
      <c r="E38" s="70" t="inlineStr">
        <is>
          <t>The loyalty engine must allocate transaction spend sequentially across each applicable tier band (e.g., Silver, Gold, Platinum) and apply financial awards separately based on the portion of spend within each tier’s defined thresholds.
The system must trigger a reward selection event in the PRO app for each new selectable tier entered (Gold and Platinum), including any tiers bypassed within the transaction. Any remaining lower-tier rewards (e.g., Silver F&amp;D Bucks) are applied to spend within that tier band.
All rewards must be calculated only on spend within each tier band, with no retroactive application across thresholds, and prior tier earnings must remain unchanged.</t>
        </is>
      </c>
      <c r="F38" s="70" t="inlineStr">
        <is>
          <t>126 (Gap &amp; Edge Cases)</t>
        </is>
      </c>
      <c r="G38" s="70" t="n">
        <v>1</v>
      </c>
      <c r="H38" s="70" t="inlineStr">
        <is>
          <t>Covered</t>
        </is>
      </c>
    </row>
    <row r="39">
      <c r="A39" s="70" t="inlineStr">
        <is>
          <t>J-CR-7</t>
        </is>
      </c>
      <c r="B39" s="70" t="inlineStr">
        <is>
          <t>Financial Award</t>
        </is>
      </c>
      <c r="C39" s="70" t="inlineStr">
        <is>
          <t>LEK_FND_ Financial Award Business Rules &amp; Requirements_v4.docx</t>
        </is>
      </c>
      <c r="D39" s="70" t="inlineStr">
        <is>
          <t>What happens if a PRO moves from Gold or Platinum to Silver?</t>
        </is>
      </c>
      <c r="E39" s="70" t="inlineStr">
        <is>
          <t>The loyalty engine / CRM must determine tier status at the start of the new calendar year based on prior-year spend and assign the PRO to Silver tier if thresholds are not met. Upon downgrade, the system must remove rebate as an available reward option and automatically assign F&amp;D Bucks as the default reward type.
Rebate elections and accruals from the prior year must remain unchanged, but all new spend in the current year must follow Silver-tier F&amp;D Bucks rules with no rebate eligibility until PRO crosses Gold or Platinum thresholds.</t>
        </is>
      </c>
      <c r="F39" s="70" t="inlineStr">
        <is>
          <t>194 (Gap &amp; Edge Cases); 3, 12 (Use Cases)</t>
        </is>
      </c>
      <c r="G39" s="70" t="n">
        <v>3</v>
      </c>
      <c r="H39" s="70" t="inlineStr">
        <is>
          <t>Covered</t>
        </is>
      </c>
    </row>
    <row r="40">
      <c r="A40" s="70" t="inlineStr">
        <is>
          <t>J-CR-8</t>
        </is>
      </c>
      <c r="B40" s="70" t="inlineStr">
        <is>
          <t>Financial Award</t>
        </is>
      </c>
      <c r="C40" s="70" t="inlineStr">
        <is>
          <t>LEK_FND_ Financial Award Business Rules &amp; Requirements_v4.docx</t>
        </is>
      </c>
      <c r="D40" s="70" t="inlineStr">
        <is>
          <t>Do PROs need to reselect benefits each year?</t>
        </is>
      </c>
      <c r="E40" s="70" t="inlineStr"/>
      <c r="F40" s="70" t="inlineStr">
        <is>
          <t>193 (Gap &amp; Edge Cases)</t>
        </is>
      </c>
      <c r="G40" s="70" t="n">
        <v>1</v>
      </c>
      <c r="H40" s="70" t="inlineStr">
        <is>
          <t>Open Question — no rule defined in source</t>
        </is>
      </c>
    </row>
    <row r="41">
      <c r="A41" s="70" t="inlineStr">
        <is>
          <t>J-CR-9</t>
        </is>
      </c>
      <c r="B41" s="70" t="inlineStr">
        <is>
          <t>Financial Award</t>
        </is>
      </c>
      <c r="C41" s="70" t="inlineStr">
        <is>
          <t>LEK_FND_ Financial Award Business Rules &amp; Requirements_v4.docx</t>
        </is>
      </c>
      <c r="D41" s="70" t="inlineStr">
        <is>
          <t>How do PROs provide payment details for rebate disbursement?</t>
        </is>
      </c>
      <c r="E41" s="70" t="inlineStr">
        <is>
          <t>PROs must provide valid details to receive rebate payments and the loyalty engine must support secure capture and storage of this information. A 3RD party partner should be used to process these payments; method of disbursement will inform details required.</t>
        </is>
      </c>
      <c r="F41" s="70" t="inlineStr">
        <is>
          <t>190 (Gap &amp; Edge Cases)</t>
        </is>
      </c>
      <c r="G41" s="70" t="n">
        <v>1</v>
      </c>
      <c r="H41" s="70" t="inlineStr">
        <is>
          <t>Covered</t>
        </is>
      </c>
    </row>
    <row r="42">
      <c r="A42" s="70" t="inlineStr">
        <is>
          <t>E-OA-1</t>
        </is>
      </c>
      <c r="B42" s="70" t="inlineStr">
        <is>
          <t>Financial Award</t>
        </is>
      </c>
      <c r="C42" s="70" t="inlineStr">
        <is>
          <t>LEK_FND_ Financial Award Business Rules &amp; Requirements_v4.docx</t>
        </is>
      </c>
      <c r="D42" s="70" t="inlineStr">
        <is>
          <t>What spend is considered eligible for F&amp;D Bucks and rebate accrual?</t>
        </is>
      </c>
      <c r="E42" s="70" t="inlineStr">
        <is>
          <t>The POS system must capture transaction-level detail (across in-store, app and desktop) and pass it to the loyalty engine, which calculates rebate on net eligible spend (products and services only), explicitly excluding returns, sales tax, gift card purchases, and any portion of a transaction paid using gift cards.
The POS system must flag payment methods and product types, and the loyalty engine must exclude gift card purchases and any portion of transactions paid using gift cards from eligible spend calculations.</t>
        </is>
      </c>
      <c r="F42" s="70" t="inlineStr">
        <is>
          <t>127, 128 (Gap &amp; Edge Cases); 1 (Use Cases)</t>
        </is>
      </c>
      <c r="G42" s="70" t="n">
        <v>3</v>
      </c>
      <c r="H42" s="70" t="inlineStr">
        <is>
          <t>Covered</t>
        </is>
      </c>
    </row>
    <row r="43">
      <c r="A43" s="70" t="inlineStr">
        <is>
          <t>E-OA-2</t>
        </is>
      </c>
      <c r="B43" s="70" t="inlineStr">
        <is>
          <t>Financial Award</t>
        </is>
      </c>
      <c r="C43" s="70" t="inlineStr">
        <is>
          <t>LEK_FND_ Financial Award Business Rules &amp; Requirements_v4.docx</t>
        </is>
      </c>
      <c r="D43" s="70" t="inlineStr">
        <is>
          <t>Is spend accrued at the individual or account level?</t>
        </is>
      </c>
      <c r="E43" s="70" t="inlineStr">
        <is>
          <t>The CRM must define the account hierarchy, and the loyalty engine must aggregate all eligible transaction data from the POS / app / online to calculate and track rebate earnings at the account level.</t>
        </is>
      </c>
      <c r="F43" s="70" t="inlineStr">
        <is>
          <t>56 (Use Cases)</t>
        </is>
      </c>
      <c r="G43" s="70" t="n">
        <v>1</v>
      </c>
      <c r="H43" s="70" t="inlineStr">
        <is>
          <t>Covered</t>
        </is>
      </c>
    </row>
    <row r="44">
      <c r="A44" s="70" t="inlineStr">
        <is>
          <t>E-OA-3</t>
        </is>
      </c>
      <c r="B44" s="70" t="inlineStr">
        <is>
          <t>Financial Award</t>
        </is>
      </c>
      <c r="C44" s="70" t="inlineStr">
        <is>
          <t>LEK_FND_ Financial Award Business Rules &amp; Requirements_v4.docx</t>
        </is>
      </c>
      <c r="D44" s="70" t="inlineStr">
        <is>
          <t>How is spend tracked across users?</t>
        </is>
      </c>
      <c r="E44" s="70" t="inlineStr">
        <is>
          <t>The POS system must associate each transaction (across in-store, app and desktop) with a loyalty account ID (regardless of purchaser), and the loyalty engine must aggregate all delegate-linked transactions into the account-level spend tracking.</t>
        </is>
      </c>
      <c r="F44" s="70" t="inlineStr">
        <is>
          <t>56 (Use Cases)</t>
        </is>
      </c>
      <c r="G44" s="70" t="n">
        <v>1</v>
      </c>
      <c r="H44" s="70" t="inlineStr">
        <is>
          <t>Covered</t>
        </is>
      </c>
    </row>
    <row r="45">
      <c r="A45" s="70" t="inlineStr">
        <is>
          <t>E-OA-4</t>
        </is>
      </c>
      <c r="B45" s="70" t="inlineStr">
        <is>
          <t>Financial Award</t>
        </is>
      </c>
      <c r="C45" s="70" t="inlineStr">
        <is>
          <t>LEK_FND_ Financial Award Business Rules &amp; Requirements_v4.docx</t>
        </is>
      </c>
      <c r="D45" s="70" t="inlineStr">
        <is>
          <t>How is spend tracked across different purchase channels?</t>
        </is>
      </c>
      <c r="E45" s="70" t="inlineStr">
        <is>
          <t>All transaction data from in-store (POS) and online systems must be integrated into the loyalty engine, to enable consistent rebate accrual logic and roll up all eligible spend to a single PRO account.</t>
        </is>
      </c>
      <c r="F45" s="70" t="inlineStr">
        <is>
          <t>104 (Use Cases)</t>
        </is>
      </c>
      <c r="G45" s="70" t="n">
        <v>1</v>
      </c>
      <c r="H45" s="70" t="inlineStr">
        <is>
          <t>Covered</t>
        </is>
      </c>
    </row>
    <row r="46">
      <c r="A46" s="70" t="inlineStr">
        <is>
          <t>E-OA-5</t>
        </is>
      </c>
      <c r="B46" s="70" t="inlineStr">
        <is>
          <t>Financial Award</t>
        </is>
      </c>
      <c r="C46" s="70" t="inlineStr">
        <is>
          <t>LEK_FND_ Financial Award Business Rules &amp; Requirements_v4.docx</t>
        </is>
      </c>
      <c r="D46" s="70" t="inlineStr">
        <is>
          <t>How are purchases linked to a PRO account at the time of transaction?</t>
        </is>
      </c>
      <c r="E46" s="70" t="inlineStr">
        <is>
          <t>The POS system must capture and associate each transaction with a verified PRO account ID. This can be achieved by QR code or Account ID used as primary identifier with phone number and business name lookup as an alternate. 
Phone numbers will require Associate to confirm which account the transaction should be linked to if phone number is associated with multiple accounts as a primary or other user.</t>
        </is>
      </c>
      <c r="F46" s="70" t="inlineStr">
        <is>
          <t>171 (Gap &amp; Edge Cases); 91, 100, 104 (Use Cases)</t>
        </is>
      </c>
      <c r="G46" s="70" t="n">
        <v>4</v>
      </c>
      <c r="H46" s="70" t="inlineStr">
        <is>
          <t>Covered</t>
        </is>
      </c>
    </row>
    <row r="47">
      <c r="A47" s="70" t="inlineStr">
        <is>
          <t>E-OA-6</t>
        </is>
      </c>
      <c r="B47" s="70" t="inlineStr">
        <is>
          <t>Financial Award</t>
        </is>
      </c>
      <c r="C47" s="70" t="inlineStr">
        <is>
          <t>LEK_FND_ Financial Award Business Rules &amp; Requirements_v4.docx</t>
        </is>
      </c>
      <c r="D47" s="70" t="inlineStr">
        <is>
          <t>What happens if a transaction is not linked to a PRO account at checkout?</t>
        </is>
      </c>
      <c r="E47" s="70" t="inlineStr">
        <is>
          <t>The loyalty engine must allow for retroactive transaction attribution within a defined window (exact length TBD) via a valid PRO account ID and scanning of receipt barcode. 
The current PPR retroactive spend attribution mechanics can be used but enhancements are needed to directly monitor accounts with an outsized number of manual transaction attributions. 
Manual approval / validation workflows are required for any retroactive attribution of financial award.</t>
        </is>
      </c>
      <c r="F47" s="70" t="inlineStr">
        <is>
          <t>168, 181, 237 (Gap &amp; Edge Cases); 92 (Use Cases)</t>
        </is>
      </c>
      <c r="G47" s="70" t="n">
        <v>4</v>
      </c>
      <c r="H47" s="70" t="inlineStr">
        <is>
          <t>Covered</t>
        </is>
      </c>
    </row>
    <row r="48">
      <c r="A48" s="70" t="inlineStr">
        <is>
          <t>E-OA-7</t>
        </is>
      </c>
      <c r="B48" s="70" t="inlineStr">
        <is>
          <t>Financial Award</t>
        </is>
      </c>
      <c r="C48" s="70" t="inlineStr">
        <is>
          <t>LEK_FND_ Financial Award Business Rules &amp; Requirements_v4.docx</t>
        </is>
      </c>
      <c r="D48" s="70" t="inlineStr">
        <is>
          <t>How should post-void transactions (distinct from returns) be treated for financial award attribution and accrual?</t>
        </is>
      </c>
      <c r="E48" s="70" t="inlineStr">
        <is>
          <t>The loyalty engine should treat a post-void transaction as if it never occurred, reversing any associated eligible spend and financial award accrual without applying return-specific logic. No additional or separate loyalty rules are required beyond standard transaction reversal.</t>
        </is>
      </c>
      <c r="F48" s="70" t="inlineStr">
        <is>
          <t>129 (Gap &amp; Edge Cases)</t>
        </is>
      </c>
      <c r="G48" s="70" t="n">
        <v>1</v>
      </c>
      <c r="H48" s="70" t="inlineStr">
        <is>
          <t>Covered</t>
        </is>
      </c>
    </row>
    <row r="49">
      <c r="A49" s="70" t="inlineStr">
        <is>
          <t>E-GC-1</t>
        </is>
      </c>
      <c r="B49" s="70" t="inlineStr">
        <is>
          <t>Financial Award</t>
        </is>
      </c>
      <c r="C49" s="70" t="inlineStr">
        <is>
          <t>LEK_FND_ Financial Award Business Rules &amp; Requirements_v4.docx</t>
        </is>
      </c>
      <c r="D49" s="70" t="inlineStr">
        <is>
          <t>How do PROs earn F&amp;D Bucks?</t>
        </is>
      </c>
      <c r="E49" s="70" t="inlineStr">
        <is>
          <t>The loyalty engine must track cumulative eligible spend (from in-store, app, and online transactions) and issue a F&amp;D Bucks each time a $1,000 spend threshold is reached, based on tier-specific reward values.</t>
        </is>
      </c>
      <c r="F49" s="70" t="inlineStr">
        <is>
          <t>1 (Use Cases)</t>
        </is>
      </c>
      <c r="G49" s="70" t="n">
        <v>1</v>
      </c>
      <c r="H49" s="70" t="inlineStr">
        <is>
          <t>Covered</t>
        </is>
      </c>
    </row>
    <row r="50">
      <c r="A50" s="70" t="inlineStr">
        <is>
          <t>E-GC-2</t>
        </is>
      </c>
      <c r="B50" s="70" t="inlineStr">
        <is>
          <t>Financial Award</t>
        </is>
      </c>
      <c r="C50" s="70" t="inlineStr">
        <is>
          <t>LEK_FND_ Financial Award Business Rules &amp; Requirements_v4.docx</t>
        </is>
      </c>
      <c r="D50" s="70" t="inlineStr">
        <is>
          <t>What is the F&amp;D Bucks value by tier?</t>
        </is>
      </c>
      <c r="E50" s="70" t="inlineStr">
        <is>
          <t>The loyalty engine must apply tier-based reward values ($50 per $1K for Silver and Gold, $75 per $1K for Platinum) using configurable tier logic tied to account status stored in the CRM.</t>
        </is>
      </c>
      <c r="F50" s="70" t="inlineStr">
        <is>
          <t>198 (Gap &amp; Edge Cases); 1 (Use Cases)</t>
        </is>
      </c>
      <c r="G50" s="70" t="n">
        <v>2</v>
      </c>
      <c r="H50" s="70" t="inlineStr">
        <is>
          <t>Covered</t>
        </is>
      </c>
    </row>
    <row r="51">
      <c r="A51" s="70" t="inlineStr">
        <is>
          <t>E-GC-3</t>
        </is>
      </c>
      <c r="B51" s="70" t="inlineStr">
        <is>
          <t>Financial Award</t>
        </is>
      </c>
      <c r="C51" s="70" t="inlineStr">
        <is>
          <t>LEK_FND_ Financial Award Business Rules &amp; Requirements_v4.docx</t>
        </is>
      </c>
      <c r="D51" s="70" t="inlineStr">
        <is>
          <t>How are large (e.g. multi-thousand dollar) transactions handled?</t>
        </is>
      </c>
      <c r="E51" s="70" t="inlineStr">
        <is>
          <t>The loyalty engine must support multi-threshold processing within a single transaction, issuing multiple F&amp;D Bucks for each $1,000 increment reached based on transaction-level data received from the POS / e-commerce systems.</t>
        </is>
      </c>
      <c r="F51" s="70" t="inlineStr">
        <is>
          <t>125 (Gap &amp; Edge Cases)</t>
        </is>
      </c>
      <c r="G51" s="70" t="n">
        <v>1</v>
      </c>
      <c r="H51" s="70" t="inlineStr">
        <is>
          <t>Covered</t>
        </is>
      </c>
    </row>
    <row r="52">
      <c r="A52" s="70" t="inlineStr">
        <is>
          <t>E-GC-4</t>
        </is>
      </c>
      <c r="B52" s="70" t="inlineStr">
        <is>
          <t>Financial Award</t>
        </is>
      </c>
      <c r="C52" s="70" t="inlineStr">
        <is>
          <t>LEK_FND_ Financial Award Business Rules &amp; Requirements_v4.docx</t>
        </is>
      </c>
      <c r="D52" s="70" t="inlineStr">
        <is>
          <t>How is mid-year tier entry handled?</t>
        </is>
      </c>
      <c r="E52" s="70" t="inlineStr">
        <is>
          <t>The loyalty engine must apply F&amp;D Bucks accrual only to spend within the applicable tier band at the time of transaction and must not retroactively issue F&amp;D Bucks for spend prior to the tier change. Tier transitions must be driven by cumulative spend tracked from POS feeds and stored in the CRM.</t>
        </is>
      </c>
      <c r="F52" s="70" t="inlineStr">
        <is>
          <t>131 (Gap &amp; Edge Cases); 2 (Use Cases)</t>
        </is>
      </c>
      <c r="G52" s="70" t="n">
        <v>2</v>
      </c>
      <c r="H52" s="70" t="inlineStr">
        <is>
          <t>Covered</t>
        </is>
      </c>
    </row>
    <row r="53">
      <c r="A53" s="70" t="inlineStr">
        <is>
          <t>E-GC-5</t>
        </is>
      </c>
      <c r="B53" s="70" t="inlineStr">
        <is>
          <t>Financial Award</t>
        </is>
      </c>
      <c r="C53" s="70" t="inlineStr">
        <is>
          <t>LEK_FND_ Financial Award Business Rules &amp; Requirements_v4.docx</t>
        </is>
      </c>
      <c r="D53" s="70" t="inlineStr">
        <is>
          <t>How are F&amp;D Bucks delivered?</t>
        </is>
      </c>
      <c r="E53" s="70" t="inlineStr">
        <is>
          <t>Upon issuance, the loyalty engine must generate F&amp;D Bucks records and pass them to the PRO app digital wallet for storage, display, and redemption.</t>
        </is>
      </c>
      <c r="F53" s="70" t="inlineStr">
        <is>
          <t>57 (Use Cases)</t>
        </is>
      </c>
      <c r="G53" s="70" t="n">
        <v>1</v>
      </c>
      <c r="H53" s="70" t="inlineStr">
        <is>
          <t>Covered</t>
        </is>
      </c>
    </row>
    <row r="54">
      <c r="A54" s="70" t="inlineStr">
        <is>
          <t>E-CR-1</t>
        </is>
      </c>
      <c r="B54" s="70" t="inlineStr">
        <is>
          <t>Financial Award</t>
        </is>
      </c>
      <c r="C54" s="70" t="inlineStr">
        <is>
          <t>LEK_FND_ Financial Award Business Rules &amp; Requirements_v4.docx</t>
        </is>
      </c>
      <c r="D54" s="70" t="inlineStr">
        <is>
          <t>How is rebate calculated by tier?</t>
        </is>
      </c>
      <c r="E54" s="70" t="inlineStr">
        <is>
          <t>The loyalty engine must apply tier-based rebate rates (3% for Gold, 5% for Platinum) to eligible spend and sum cumulative totals across accrual period(s).</t>
        </is>
      </c>
      <c r="F54" s="70" t="inlineStr">
        <is>
          <t>199 (Gap &amp; Edge Cases)</t>
        </is>
      </c>
      <c r="G54" s="70" t="n">
        <v>1</v>
      </c>
      <c r="H54" s="70" t="inlineStr">
        <is>
          <t>Covered</t>
        </is>
      </c>
    </row>
    <row r="55">
      <c r="A55" s="70" t="inlineStr">
        <is>
          <t>E-CR-2</t>
        </is>
      </c>
      <c r="B55" s="70" t="inlineStr">
        <is>
          <t>Financial Award</t>
        </is>
      </c>
      <c r="C55" s="70" t="inlineStr">
        <is>
          <t>LEK_FND_ Financial Award Business Rules &amp; Requirements_v4.docx</t>
        </is>
      </c>
      <c r="D55" s="70" t="inlineStr">
        <is>
          <t>How is spend handled when crossing a tier threshold?</t>
        </is>
      </c>
      <c r="E55" s="70" t="inlineStr"/>
      <c r="F55" s="70" t="inlineStr"/>
      <c r="G55" s="70" t="n">
        <v>0</v>
      </c>
      <c r="H55" s="70" t="inlineStr">
        <is>
          <t>Open Question — no rule defined in source</t>
        </is>
      </c>
    </row>
    <row r="56">
      <c r="A56" s="70" t="inlineStr">
        <is>
          <t>E-CR-3</t>
        </is>
      </c>
      <c r="B56" s="70" t="inlineStr">
        <is>
          <t>Financial Award</t>
        </is>
      </c>
      <c r="C56" s="70" t="inlineStr">
        <is>
          <t>LEK_FND_ Financial Award Business Rules &amp; Requirements_v4.docx</t>
        </is>
      </c>
      <c r="D56" s="70" t="inlineStr">
        <is>
          <t>When does rebate accrual begin?</t>
        </is>
      </c>
      <c r="E56" s="70" t="inlineStr"/>
      <c r="F56" s="70" t="inlineStr"/>
      <c r="G56" s="70" t="n">
        <v>0</v>
      </c>
      <c r="H56" s="70" t="inlineStr">
        <is>
          <t>Open Question — no rule defined in source</t>
        </is>
      </c>
    </row>
    <row r="57">
      <c r="A57" s="70" t="inlineStr">
        <is>
          <t>E-CR-4</t>
        </is>
      </c>
      <c r="B57" s="70" t="inlineStr">
        <is>
          <t>Financial Award</t>
        </is>
      </c>
      <c r="C57" s="70" t="inlineStr">
        <is>
          <t>LEK_FND_ Financial Award Business Rules &amp; Requirements_v4.docx</t>
        </is>
      </c>
      <c r="D57" s="70" t="inlineStr">
        <is>
          <t>When can rebates be accrued?</t>
        </is>
      </c>
      <c r="E57" s="70" t="inlineStr">
        <is>
          <t>Rebate are accrued within two semiannual calendar-year focused (Jan-June, July-December) accrual periods and assigned to a period based on transaction date.</t>
        </is>
      </c>
      <c r="F57" s="70" t="inlineStr">
        <is>
          <t>134 (Gap &amp; Edge Cases)</t>
        </is>
      </c>
      <c r="G57" s="70" t="n">
        <v>1</v>
      </c>
      <c r="H57" s="70" t="inlineStr">
        <is>
          <t>Covered</t>
        </is>
      </c>
    </row>
    <row r="58">
      <c r="A58" s="70" t="inlineStr">
        <is>
          <t>E-CR-5</t>
        </is>
      </c>
      <c r="B58" s="70" t="inlineStr">
        <is>
          <t>Financial Award</t>
        </is>
      </c>
      <c r="C58" s="70" t="inlineStr">
        <is>
          <t>LEK_FND_ Financial Award Business Rules &amp; Requirements_v4.docx</t>
        </is>
      </c>
      <c r="D58" s="70" t="inlineStr">
        <is>
          <t>How do returns impact rebate accrual?</t>
        </is>
      </c>
      <c r="E58" s="70" t="inlineStr">
        <is>
          <t>The POS system must transmit return and adjustment transactions to the loyalty engine, which must reduce eligible spend and rebate accrual for the current period prior to period close.</t>
        </is>
      </c>
      <c r="F58" s="70" t="inlineStr">
        <is>
          <t>4, 98 (Use Cases)</t>
        </is>
      </c>
      <c r="G58" s="70" t="n">
        <v>2</v>
      </c>
      <c r="H58" s="70" t="inlineStr">
        <is>
          <t>Covered</t>
        </is>
      </c>
    </row>
    <row r="59">
      <c r="A59" s="70" t="inlineStr">
        <is>
          <t>E-CR-6</t>
        </is>
      </c>
      <c r="B59" s="70" t="inlineStr">
        <is>
          <t>Financial Award</t>
        </is>
      </c>
      <c r="C59" s="70" t="inlineStr">
        <is>
          <t>LEK_FND_ Financial Award Business Rules &amp; Requirements_v4.docx</t>
        </is>
      </c>
      <c r="D59" s="70" t="inlineStr">
        <is>
          <t>How are post-period returns handled?</t>
        </is>
      </c>
      <c r="E59" s="70" t="inlineStr"/>
      <c r="F59" s="70" t="inlineStr">
        <is>
          <t>196 (Gap &amp; Edge Cases)</t>
        </is>
      </c>
      <c r="G59" s="70" t="n">
        <v>1</v>
      </c>
      <c r="H59" s="70" t="inlineStr">
        <is>
          <t>Open Question — no rule defined in source</t>
        </is>
      </c>
    </row>
    <row r="60">
      <c r="A60" s="70" t="inlineStr">
        <is>
          <t>E-CR-7</t>
        </is>
      </c>
      <c r="B60" s="70" t="inlineStr">
        <is>
          <t>Financial Award</t>
        </is>
      </c>
      <c r="C60" s="70" t="inlineStr">
        <is>
          <t>LEK_FND_ Financial Award Business Rules &amp; Requirements_v4.docx</t>
        </is>
      </c>
      <c r="D60" s="70" t="inlineStr">
        <is>
          <t>When is spend considered final for rebate calculation?</t>
        </is>
      </c>
      <c r="E60" s="70" t="inlineStr">
        <is>
          <t>The loyalty engine must treat spend as provisional until the return window has passed or all associated returns are resolved, and must only finalize rebate amounts for payout after this validation step.</t>
        </is>
      </c>
      <c r="F60" s="70" t="inlineStr">
        <is>
          <t>134, 137, 197 (Gap &amp; Edge Cases)</t>
        </is>
      </c>
      <c r="G60" s="70" t="n">
        <v>3</v>
      </c>
      <c r="H60" s="70" t="inlineStr">
        <is>
          <t>Covered</t>
        </is>
      </c>
    </row>
    <row r="61">
      <c r="A61" s="70" t="inlineStr">
        <is>
          <t>R-GC-1</t>
        </is>
      </c>
      <c r="B61" s="70" t="inlineStr">
        <is>
          <t>Financial Award</t>
        </is>
      </c>
      <c r="C61" s="70" t="inlineStr">
        <is>
          <t>LEK_FND_ Financial Award Business Rules &amp; Requirements_v4.docx</t>
        </is>
      </c>
      <c r="D61" s="70" t="inlineStr">
        <is>
          <t>How can PROs redeem F&amp;D Bucks?</t>
        </is>
      </c>
      <c r="E61" s="70" t="inlineStr">
        <is>
          <t>The POS system must support 2 factor authentication to allow redemption of F&amp;D Bucks for all purchases. Both channels must validate F&amp;D Bucks balances through the loyalty engine or F&amp;D Bucks service.</t>
        </is>
      </c>
      <c r="F61" s="70" t="inlineStr">
        <is>
          <t>138 (Gap &amp; Edge Cases); 16, 27, 57, 105 (Use Cases)</t>
        </is>
      </c>
      <c r="G61" s="70" t="n">
        <v>5</v>
      </c>
      <c r="H61" s="70" t="inlineStr">
        <is>
          <t>Covered</t>
        </is>
      </c>
    </row>
    <row r="62">
      <c r="A62" s="70" t="inlineStr">
        <is>
          <t>R-GC-2</t>
        </is>
      </c>
      <c r="B62" s="70" t="inlineStr">
        <is>
          <t>Financial Award</t>
        </is>
      </c>
      <c r="C62" s="70" t="inlineStr">
        <is>
          <t>LEK_FND_ Financial Award Business Rules &amp; Requirements_v4.docx</t>
        </is>
      </c>
      <c r="D62" s="70" t="inlineStr">
        <is>
          <t>Are F&amp;D Bucks transferable?</t>
        </is>
      </c>
      <c r="E62" s="70" t="inlineStr"/>
      <c r="F62" s="70" t="inlineStr"/>
      <c r="G62" s="70" t="n">
        <v>0</v>
      </c>
      <c r="H62" s="70" t="inlineStr">
        <is>
          <t>Open Question — no rule defined in source</t>
        </is>
      </c>
    </row>
    <row r="63">
      <c r="A63" s="70" t="inlineStr">
        <is>
          <t>R-GC-3</t>
        </is>
      </c>
      <c r="B63" s="70" t="inlineStr">
        <is>
          <t>Financial Award</t>
        </is>
      </c>
      <c r="C63" s="70" t="inlineStr">
        <is>
          <t>LEK_FND_ Financial Award Business Rules &amp; Requirements_v4.docx</t>
        </is>
      </c>
      <c r="D63" s="70" t="inlineStr">
        <is>
          <t>Can F&amp;D Bucks be used to purchase other F&amp;D Bucks?</t>
        </is>
      </c>
      <c r="E63" s="70" t="inlineStr">
        <is>
          <t>The POS and e-commerce systems must enforce product-level restrictions to prevent F&amp;D Bucks from being used as payment for purchasing other F&amp;D Bucks.</t>
        </is>
      </c>
      <c r="F63" s="70" t="inlineStr">
        <is>
          <t>139 (Gap &amp; Edge Cases)</t>
        </is>
      </c>
      <c r="G63" s="70" t="n">
        <v>1</v>
      </c>
      <c r="H63" s="70" t="inlineStr">
        <is>
          <t>Covered</t>
        </is>
      </c>
    </row>
    <row r="64">
      <c r="A64" s="70" t="inlineStr">
        <is>
          <t>R-GC-4</t>
        </is>
      </c>
      <c r="B64" s="70" t="inlineStr">
        <is>
          <t>Financial Award</t>
        </is>
      </c>
      <c r="C64" s="70" t="inlineStr">
        <is>
          <t>LEK_FND_ Financial Award Business Rules &amp; Requirements_v4.docx</t>
        </is>
      </c>
      <c r="D64" s="70" t="inlineStr">
        <is>
          <t>How are balances updated after use?</t>
        </is>
      </c>
      <c r="E64" s="70" t="inlineStr">
        <is>
          <t>The loyalty engine must update F&amp;D Bucks balances in near real time upon redemption, with daily synchronization to the POS, e-commerce platform, and PRO app wallet.</t>
        </is>
      </c>
      <c r="F64" s="70" t="inlineStr">
        <is>
          <t>144 (Gap &amp; Edge Cases); 105 (Use Cases)</t>
        </is>
      </c>
      <c r="G64" s="70" t="n">
        <v>2</v>
      </c>
      <c r="H64" s="70" t="inlineStr">
        <is>
          <t>Covered</t>
        </is>
      </c>
    </row>
    <row r="65">
      <c r="A65" s="70" t="inlineStr">
        <is>
          <t>R-GC-5</t>
        </is>
      </c>
      <c r="B65" s="70" t="inlineStr">
        <is>
          <t>Financial Award</t>
        </is>
      </c>
      <c r="C65" s="70" t="inlineStr">
        <is>
          <t>LEK_FND_ Financial Award Business Rules &amp; Requirements_v4.docx</t>
        </is>
      </c>
      <c r="D65" s="70" t="inlineStr">
        <is>
          <t>When do F&amp;D Bucks expire?</t>
        </is>
      </c>
      <c r="E65" s="70" t="inlineStr"/>
      <c r="F65" s="70" t="inlineStr">
        <is>
          <t>45, 60 (Use Cases)</t>
        </is>
      </c>
      <c r="G65" s="70" t="n">
        <v>2</v>
      </c>
      <c r="H65" s="70" t="inlineStr">
        <is>
          <t>Open Question — no rule defined in source</t>
        </is>
      </c>
    </row>
    <row r="66">
      <c r="A66" s="70" t="inlineStr">
        <is>
          <t>R-GC-6</t>
        </is>
      </c>
      <c r="B66" s="70" t="inlineStr">
        <is>
          <t>Financial Award</t>
        </is>
      </c>
      <c r="C66" s="70" t="inlineStr">
        <is>
          <t>LEK_FND_ Financial Award Business Rules &amp; Requirements_v4.docx</t>
        </is>
      </c>
      <c r="D66" s="70" t="inlineStr">
        <is>
          <t>Can expired F&amp;D Bucks be reinstated?</t>
        </is>
      </c>
      <c r="E66" s="70" t="inlineStr">
        <is>
          <t>Expired F&amp;D Bucks can only be reinstated via manual override. The loyalty engine must prevent reinstatement of expired F&amp;D Bucks, with exception workflow(s) and permissions to allow controlled administrative override for documented system errors.</t>
        </is>
      </c>
      <c r="F66" s="70" t="inlineStr">
        <is>
          <t>141 (Gap &amp; Edge Cases); 10, 17 (Use Cases)</t>
        </is>
      </c>
      <c r="G66" s="70" t="n">
        <v>3</v>
      </c>
      <c r="H66" s="70" t="inlineStr">
        <is>
          <t>Covered</t>
        </is>
      </c>
    </row>
    <row r="67">
      <c r="A67" s="70" t="inlineStr">
        <is>
          <t>R-GC-7</t>
        </is>
      </c>
      <c r="B67" s="70" t="inlineStr">
        <is>
          <t>Financial Award</t>
        </is>
      </c>
      <c r="C67" s="70" t="inlineStr">
        <is>
          <t>LEK_FND_ Financial Award Business Rules &amp; Requirements_v4.docx</t>
        </is>
      </c>
      <c r="D67" s="70" t="inlineStr">
        <is>
          <t>How are rewards made available for PROs to use?</t>
        </is>
      </c>
      <c r="E67" s="70" t="inlineStr">
        <is>
          <t>The loyalty engine must generate F&amp;D Bucks records upon earning and pass them to the PRO app digital wallet, where they are stored, displayed (barcode and code), and made immediately available for redemption across POS and e-commerce channels.
F&amp;D Buck redemption should follow first in, first out logic.</t>
        </is>
      </c>
      <c r="F67" s="70" t="inlineStr">
        <is>
          <t>140 (Gap &amp; Edge Cases); 57 (Use Cases)</t>
        </is>
      </c>
      <c r="G67" s="70" t="n">
        <v>2</v>
      </c>
      <c r="H67" s="70" t="inlineStr">
        <is>
          <t>Covered</t>
        </is>
      </c>
    </row>
    <row r="68">
      <c r="A68" s="70" t="inlineStr">
        <is>
          <t>R-CR-1</t>
        </is>
      </c>
      <c r="B68" s="70" t="inlineStr">
        <is>
          <t>Financial Award</t>
        </is>
      </c>
      <c r="C68" s="70" t="inlineStr">
        <is>
          <t>LEK_FND_ Financial Award Business Rules &amp; Requirements_v4.docx</t>
        </is>
      </c>
      <c r="D68" s="70" t="inlineStr">
        <is>
          <t>When are rebates paid out?</t>
        </is>
      </c>
      <c r="E68" s="70" t="inlineStr"/>
      <c r="F68" s="70" t="inlineStr"/>
      <c r="G68" s="70" t="n">
        <v>0</v>
      </c>
      <c r="H68" s="70" t="inlineStr">
        <is>
          <t>Open Question — no rule defined in source</t>
        </is>
      </c>
    </row>
    <row r="69">
      <c r="A69" s="70" t="inlineStr">
        <is>
          <t>R-CR-2</t>
        </is>
      </c>
      <c r="B69" s="70" t="inlineStr">
        <is>
          <t>Financial Award</t>
        </is>
      </c>
      <c r="C69" s="70" t="inlineStr">
        <is>
          <t>LEK_FND_ Financial Award Business Rules &amp; Requirements_v4.docx</t>
        </is>
      </c>
      <c r="D69" s="70" t="inlineStr">
        <is>
          <t>How are rebate amounts finalized?</t>
        </is>
      </c>
      <c r="E69" s="70" t="inlineStr"/>
      <c r="F69" s="70" t="inlineStr"/>
      <c r="G69" s="70" t="n">
        <v>0</v>
      </c>
      <c r="H69" s="70" t="inlineStr">
        <is>
          <t>Open Question — no rule defined in source</t>
        </is>
      </c>
    </row>
    <row r="70">
      <c r="A70" s="70" t="inlineStr">
        <is>
          <t>R-CR-3</t>
        </is>
      </c>
      <c r="B70" s="70" t="inlineStr">
        <is>
          <t>Financial Award</t>
        </is>
      </c>
      <c r="C70" s="70" t="inlineStr">
        <is>
          <t>LEK_FND_ Financial Award Business Rules &amp; Requirements_v4.docx</t>
        </is>
      </c>
      <c r="D70" s="70" t="inlineStr">
        <is>
          <t>How are rebates delivered to PROs?</t>
        </is>
      </c>
      <c r="E70" s="70" t="inlineStr">
        <is>
          <t>Upon approval in Oracle, rebate payment totals and accounts must be sent to a third-party payment provider, which executes check writing and disbursement to account-providing mailing address</t>
        </is>
      </c>
      <c r="F70" s="70" t="inlineStr">
        <is>
          <t>190 (Gap &amp; Edge Cases); 61, 102 (Use Cases)</t>
        </is>
      </c>
      <c r="G70" s="70" t="n">
        <v>3</v>
      </c>
      <c r="H70" s="70" t="inlineStr">
        <is>
          <t>Covered</t>
        </is>
      </c>
    </row>
    <row r="71">
      <c r="A71" s="70" t="inlineStr">
        <is>
          <t>R-CR-4</t>
        </is>
      </c>
      <c r="B71" s="70" t="inlineStr">
        <is>
          <t>Financial Award</t>
        </is>
      </c>
      <c r="C71" s="70" t="inlineStr">
        <is>
          <t>LEK_FND_ Financial Award Business Rules &amp; Requirements_v4.docx</t>
        </is>
      </c>
      <c r="D71" s="70" t="inlineStr">
        <is>
          <t>What happens if payment fails?</t>
        </is>
      </c>
      <c r="E71" s="70" t="inlineStr">
        <is>
          <t>The payment provider must return failed mailing notifications to Oracle / CRM, and the PRO app / CRM must prompt the account primary to update mailing details. The system must allow reprocessing within a defined 3-month remediation window, after which the rebate is forfeited unless manually overridden by customer service team.</t>
        </is>
      </c>
      <c r="F71" s="70" t="inlineStr">
        <is>
          <t>155, 191 (Gap &amp; Edge Cases)</t>
        </is>
      </c>
      <c r="G71" s="70" t="n">
        <v>2</v>
      </c>
      <c r="H71" s="70" t="inlineStr">
        <is>
          <t>Covered</t>
        </is>
      </c>
    </row>
    <row r="72">
      <c r="A72" s="70" t="inlineStr">
        <is>
          <t>R-CR-5</t>
        </is>
      </c>
      <c r="B72" s="70" t="inlineStr">
        <is>
          <t>Financial Award</t>
        </is>
      </c>
      <c r="C72" s="70" t="inlineStr">
        <is>
          <t>LEK_FND_ Financial Award Business Rules &amp; Requirements_v4.docx</t>
        </is>
      </c>
      <c r="D72" s="70" t="inlineStr">
        <is>
          <t>Can rebates be adjusted after payment?</t>
        </is>
      </c>
      <c r="E72" s="70" t="inlineStr">
        <is>
          <t>Once rebate payments are approved in Oracle and disbursed via the payment provider, the loyalty engine and financial systems will not allow recalculation, clawback, or adjustment of those paid amounts.</t>
        </is>
      </c>
      <c r="F72" s="70" t="inlineStr">
        <is>
          <t>155, 192 (Gap &amp; Edge Cases)</t>
        </is>
      </c>
      <c r="G72" s="70" t="n">
        <v>2</v>
      </c>
      <c r="H72" s="70" t="inlineStr">
        <is>
          <t>Covered</t>
        </is>
      </c>
    </row>
    <row r="73">
      <c r="A73" s="70" t="inlineStr">
        <is>
          <t>R-CR-6</t>
        </is>
      </c>
      <c r="B73" s="70" t="inlineStr">
        <is>
          <t>Financial Award</t>
        </is>
      </c>
      <c r="C73" s="70" t="inlineStr">
        <is>
          <t>LEK_FND_ Financial Award Business Rules &amp; Requirements_v4.docx</t>
        </is>
      </c>
      <c r="D73" s="70" t="inlineStr">
        <is>
          <t>Is there a minimum rebate value required to disburse payments following an accrual period?</t>
        </is>
      </c>
      <c r="E73" s="70" t="inlineStr">
        <is>
          <t>PROs must accrue $25 in the eligible accrual period to receive a cash back rebate check. Should a PRO accrue $0.01-$24.99 in cash back rebates, their accrual will be rolled over into the next period and disbursed alongside the next period’s cash back rebate.</t>
        </is>
      </c>
      <c r="F73" s="70" t="inlineStr">
        <is>
          <t>135 (Gap &amp; Edge Cases)</t>
        </is>
      </c>
      <c r="G73" s="70" t="n">
        <v>1</v>
      </c>
      <c r="H73" s="70" t="inlineStr">
        <is>
          <t>Covered</t>
        </is>
      </c>
    </row>
    <row r="74">
      <c r="A74" s="70" t="inlineStr">
        <is>
          <t>M-GC-1</t>
        </is>
      </c>
      <c r="B74" s="70" t="inlineStr">
        <is>
          <t>Financial Award</t>
        </is>
      </c>
      <c r="C74" s="70" t="inlineStr">
        <is>
          <t>LEK_FND_ Financial Award Business Rules &amp; Requirements_v4.docx</t>
        </is>
      </c>
      <c r="D74" s="70" t="inlineStr">
        <is>
          <t>What F&amp;D Bucks information should PROs be able to view?</t>
        </is>
      </c>
      <c r="E74" s="70" t="inlineStr">
        <is>
          <t>Experience requirement with systems implications 
The PRO app must display all active F&amp;D Bucks, including balances, expiration dates, and usage history, using data stored and maintained by the loyalty engine.</t>
        </is>
      </c>
      <c r="F74" s="70" t="inlineStr">
        <is>
          <t>167 (Gap &amp; Edge Cases); 56 (Use Cases)</t>
        </is>
      </c>
      <c r="G74" s="70" t="n">
        <v>2</v>
      </c>
      <c r="H74" s="70" t="inlineStr">
        <is>
          <t>Covered</t>
        </is>
      </c>
    </row>
    <row r="75">
      <c r="A75" s="70" t="inlineStr">
        <is>
          <t>M-GC-2</t>
        </is>
      </c>
      <c r="B75" s="70" t="inlineStr">
        <is>
          <t>Financial Award</t>
        </is>
      </c>
      <c r="C75" s="70" t="inlineStr">
        <is>
          <t>LEK_FND_ Financial Award Business Rules &amp; Requirements_v4.docx</t>
        </is>
      </c>
      <c r="D75" s="70" t="inlineStr">
        <is>
          <t>How are F&amp;D Bucks impacted by returns?</t>
        </is>
      </c>
      <c r="E75" s="70" t="inlineStr">
        <is>
          <t>The POS system must transmit return transactions to the loyalty engine, which must evaluate whether the return reduces spend below a $1K threshold. If so, the system must void any unused F&amp;D Bucks and, if already redeemed, pass the adjustment back to the POS to deduct the corresponding value from the refund.</t>
        </is>
      </c>
      <c r="F75" s="70" t="inlineStr">
        <is>
          <t>142 (Gap &amp; Edge Cases); 4, 98 (Use Cases)</t>
        </is>
      </c>
      <c r="G75" s="70" t="n">
        <v>3</v>
      </c>
      <c r="H75" s="70" t="inlineStr">
        <is>
          <t>Covered</t>
        </is>
      </c>
    </row>
    <row r="76">
      <c r="A76" s="70" t="inlineStr">
        <is>
          <t>M-GC-3</t>
        </is>
      </c>
      <c r="B76" s="70" t="inlineStr">
        <is>
          <t>Financial Award</t>
        </is>
      </c>
      <c r="C76" s="70" t="inlineStr">
        <is>
          <t>LEK_FND_ Financial Award Business Rules &amp; Requirements_v4.docx</t>
        </is>
      </c>
      <c r="D76" s="70" t="inlineStr">
        <is>
          <t>When are F&amp;D Bucks updated in the system?</t>
        </is>
      </c>
      <c r="E76" s="70" t="inlineStr">
        <is>
          <t>The loyalty engine must update F&amp;D Bucks status and balances daily for issuance, redemption, voiding, or expiration, and synchronize these updates to the PRO app, POS, and e-commerce systems.</t>
        </is>
      </c>
      <c r="F76" s="70" t="inlineStr">
        <is>
          <t>144 (Gap &amp; Edge Cases)</t>
        </is>
      </c>
      <c r="G76" s="70" t="n">
        <v>1</v>
      </c>
      <c r="H76" s="70" t="inlineStr">
        <is>
          <t>Covered</t>
        </is>
      </c>
    </row>
    <row r="77">
      <c r="A77" s="70" t="inlineStr">
        <is>
          <t>M-GC-4</t>
        </is>
      </c>
      <c r="B77" s="70" t="inlineStr">
        <is>
          <t>Financial Award</t>
        </is>
      </c>
      <c r="C77" s="70" t="inlineStr">
        <is>
          <t>LEK_FND_ Financial Award Business Rules &amp; Requirements_v4.docx</t>
        </is>
      </c>
      <c r="D77" s="70" t="inlineStr">
        <is>
          <t>How is account activity monitored?</t>
        </is>
      </c>
      <c r="E77" s="70" t="inlineStr">
        <is>
          <t>The loyalty engine must monitor transaction and redemption activity for predefined risk patterns (e.g., high return rates, repeated threshold transactions) and flag accounts for review, with alerts surfaced to appropriate internal systems or teams.</t>
        </is>
      </c>
      <c r="F77" s="70" t="inlineStr">
        <is>
          <t>181, 236, 239 (Gap &amp; Edge Cases)</t>
        </is>
      </c>
      <c r="G77" s="70" t="n">
        <v>3</v>
      </c>
      <c r="H77" s="70" t="inlineStr">
        <is>
          <t>Covered</t>
        </is>
      </c>
    </row>
    <row r="78">
      <c r="A78" s="70" t="inlineStr">
        <is>
          <t>M-GC-5</t>
        </is>
      </c>
      <c r="B78" s="70" t="inlineStr">
        <is>
          <t>Financial Award</t>
        </is>
      </c>
      <c r="C78" s="70" t="inlineStr">
        <is>
          <t>LEK_FND_ Financial Award Business Rules &amp; Requirements_v4.docx</t>
        </is>
      </c>
      <c r="D78" s="70" t="inlineStr">
        <is>
          <t>Who can manage F&amp;D Bucks?</t>
        </is>
      </c>
      <c r="E78" s="70" t="inlineStr">
        <is>
          <t>The CRM must define account roles, and the PRO app must enforce role-based permissions such that only the account primary and delegates with correct permissions can view, manage, and redeem F&amp;D Bucks.</t>
        </is>
      </c>
      <c r="F78" s="70" t="inlineStr">
        <is>
          <t>158 (Gap &amp; Edge Cases); 19, 26 (Use Cases)</t>
        </is>
      </c>
      <c r="G78" s="70" t="n">
        <v>3</v>
      </c>
      <c r="H78" s="70" t="inlineStr">
        <is>
          <t>Covered</t>
        </is>
      </c>
    </row>
    <row r="79">
      <c r="A79" s="70" t="inlineStr">
        <is>
          <t>M-GC-6</t>
        </is>
      </c>
      <c r="B79" s="70" t="inlineStr">
        <is>
          <t>Financial Award</t>
        </is>
      </c>
      <c r="C79" s="70" t="inlineStr">
        <is>
          <t>LEK_FND_ Financial Award Business Rules &amp; Requirements_v4.docx</t>
        </is>
      </c>
      <c r="D79" s="70" t="inlineStr">
        <is>
          <t>How quickly can PROs see F&amp;D Bucks after earning them?</t>
        </is>
      </c>
      <c r="E79" s="70" t="inlineStr"/>
      <c r="F79" s="70" t="inlineStr"/>
      <c r="G79" s="70" t="n">
        <v>0</v>
      </c>
      <c r="H79" s="70" t="inlineStr">
        <is>
          <t>Open Question — no rule defined in source</t>
        </is>
      </c>
    </row>
    <row r="80">
      <c r="A80" s="70" t="inlineStr">
        <is>
          <t>M-GC-7</t>
        </is>
      </c>
      <c r="B80" s="70" t="inlineStr">
        <is>
          <t>Financial Award</t>
        </is>
      </c>
      <c r="C80" s="70" t="inlineStr">
        <is>
          <t>LEK_FND_ Financial Award Business Rules &amp; Requirements_v4.docx</t>
        </is>
      </c>
      <c r="D80" s="70" t="inlineStr">
        <is>
          <t>What must be shown to PROs to demonstrate F&amp;D Bucks value?</t>
        </is>
      </c>
      <c r="E80" s="70" t="inlineStr">
        <is>
          <t>Experience requirement with systems implications
The PRO app must clearly display issued F&amp;D Bucks, including individual values, remaining balances, expiration dates, and transaction-level activity contributing to issuance, using data from the loyalty engine.</t>
        </is>
      </c>
      <c r="F80" s="70" t="inlineStr">
        <is>
          <t>143 (Gap &amp; Edge Cases); 56 (Use Cases)</t>
        </is>
      </c>
      <c r="G80" s="70" t="n">
        <v>2</v>
      </c>
      <c r="H80" s="70" t="inlineStr">
        <is>
          <t>Covered</t>
        </is>
      </c>
    </row>
    <row r="81">
      <c r="A81" s="70" t="inlineStr">
        <is>
          <t>M-GC-7b</t>
        </is>
      </c>
      <c r="B81" s="70" t="inlineStr">
        <is>
          <t>Financial Award</t>
        </is>
      </c>
      <c r="C81" s="70" t="inlineStr">
        <is>
          <t>LEK_FND_ Financial Award Business Rules &amp; Requirements_v4.docx</t>
        </is>
      </c>
      <c r="D81" s="70" t="inlineStr">
        <is>
          <t>(Second item published under same ID in source doc) For returns with multiple tender types, in which order should tender types be returned?</t>
        </is>
      </c>
      <c r="E81" s="70" t="inlineStr">
        <is>
          <t>For transactions involving multiple tender types, returns should be processed in the following priority order: cash, credit, gift card, store credit, F&amp;D Bucks</t>
        </is>
      </c>
      <c r="F81" s="70" t="inlineStr">
        <is>
          <t>143 (Gap &amp; Edge Cases)</t>
        </is>
      </c>
      <c r="G81" s="70" t="n">
        <v>1</v>
      </c>
      <c r="H81" s="70" t="inlineStr">
        <is>
          <t>Covered</t>
        </is>
      </c>
    </row>
    <row r="82">
      <c r="A82" s="70" t="inlineStr">
        <is>
          <t>M-CR-1</t>
        </is>
      </c>
      <c r="B82" s="70" t="inlineStr">
        <is>
          <t>Financial Award</t>
        </is>
      </c>
      <c r="C82" s="70" t="inlineStr">
        <is>
          <t>LEK_FND_ Financial Award Business Rules &amp; Requirements_v4.docx</t>
        </is>
      </c>
      <c r="D82" s="70" t="inlineStr">
        <is>
          <t>What rebate information should PROs be able to view?</t>
        </is>
      </c>
      <c r="E82" s="70" t="inlineStr">
        <is>
          <t>Experience requirement with systems implications
For permitted individuals, the PRO app must display current period spend, estimated rebate earnings, and tier status using data calculated by the loyalty engine and sourced from POS transaction feeds and account data in the CRM.</t>
        </is>
      </c>
      <c r="F82" s="70" t="inlineStr">
        <is>
          <t>167, 197 (Gap &amp; Edge Cases); 56 (Use Cases)</t>
        </is>
      </c>
      <c r="G82" s="70" t="n">
        <v>3</v>
      </c>
      <c r="H82" s="70" t="inlineStr">
        <is>
          <t>Covered</t>
        </is>
      </c>
    </row>
    <row r="83">
      <c r="A83" s="70" t="inlineStr">
        <is>
          <t>M-CR-2</t>
        </is>
      </c>
      <c r="B83" s="70" t="inlineStr">
        <is>
          <t>Financial Award</t>
        </is>
      </c>
      <c r="C83" s="70" t="inlineStr">
        <is>
          <t>LEK_FND_ Financial Award Business Rules &amp; Requirements_v4.docx</t>
        </is>
      </c>
      <c r="D83" s="70" t="inlineStr">
        <is>
          <t>How often is rebate tracking updated?</t>
        </is>
      </c>
      <c r="E83" s="70" t="inlineStr">
        <is>
          <t>The POS system must transmit completed transaction data to the loyalty engine (across in-store, app and desktop), which must update spend and rebate estimates in near real time and sync these updates to the PRO app.</t>
        </is>
      </c>
      <c r="F83" s="70" t="inlineStr">
        <is>
          <t>197 (Gap &amp; Edge Cases)</t>
        </is>
      </c>
      <c r="G83" s="70" t="n">
        <v>1</v>
      </c>
      <c r="H83" s="70" t="inlineStr">
        <is>
          <t>Covered</t>
        </is>
      </c>
    </row>
    <row r="84">
      <c r="A84" s="70" t="inlineStr">
        <is>
          <t>M-CR-3</t>
        </is>
      </c>
      <c r="B84" s="70" t="inlineStr">
        <is>
          <t>Financial Award</t>
        </is>
      </c>
      <c r="C84" s="70" t="inlineStr">
        <is>
          <t>LEK_FND_ Financial Award Business Rules &amp; Requirements_v4.docx</t>
        </is>
      </c>
      <c r="D84" s="70" t="inlineStr">
        <is>
          <t>How do returns impact visible rebate tracking?</t>
        </is>
      </c>
      <c r="E84" s="70" t="inlineStr">
        <is>
          <t>The POS system must transmit return and adjustment transactions to the loyalty engine (across in-store, app and desktop), which will immediately update spend totals and rebate estimates and translate these changes to reflected back in the PRO app.</t>
        </is>
      </c>
      <c r="F84" s="70" t="inlineStr">
        <is>
          <t>4, 98 (Use Cases)</t>
        </is>
      </c>
      <c r="G84" s="70" t="n">
        <v>2</v>
      </c>
      <c r="H84" s="70" t="inlineStr">
        <is>
          <t>Covered</t>
        </is>
      </c>
    </row>
    <row r="85">
      <c r="A85" s="70" t="inlineStr">
        <is>
          <t>M-CR-4</t>
        </is>
      </c>
      <c r="B85" s="70" t="inlineStr">
        <is>
          <t>Financial Award</t>
        </is>
      </c>
      <c r="C85" s="70" t="inlineStr">
        <is>
          <t>LEK_FND_ Financial Award Business Rules &amp; Requirements_v4.docx</t>
        </is>
      </c>
      <c r="D85" s="70" t="inlineStr">
        <is>
          <t>Who can view full account-level rebate information?</t>
        </is>
      </c>
      <c r="E85" s="70" t="inlineStr">
        <is>
          <t>The CRM must define account roles and the PRO app must enforce role-based access such that only the account primary can view full account-level rebate data, while delegate accounts (as defined by CRM requirements documentation) are limited to their own transaction activity.</t>
        </is>
      </c>
      <c r="F85" s="70" t="inlineStr">
        <is>
          <t>26 (Use Cases)</t>
        </is>
      </c>
      <c r="G85" s="70" t="n">
        <v>1</v>
      </c>
      <c r="H85" s="70" t="inlineStr">
        <is>
          <t>Covered</t>
        </is>
      </c>
    </row>
    <row r="86">
      <c r="A86" s="70" t="inlineStr">
        <is>
          <t>M-CR-5</t>
        </is>
      </c>
      <c r="B86" s="70" t="inlineStr">
        <is>
          <t>Financial Award</t>
        </is>
      </c>
      <c r="C86" s="70" t="inlineStr">
        <is>
          <t>LEK_FND_ Financial Award Business Rules &amp; Requirements_v4.docx</t>
        </is>
      </c>
      <c r="D86" s="70" t="inlineStr">
        <is>
          <t>When does tier status update?</t>
        </is>
      </c>
      <c r="E86" s="70" t="inlineStr">
        <is>
          <t>The loyalty engine must evaluate cumulative net eligible spend from POS / app / desktop feeds daily and update tier status once thresholds are crossed and pending returns are resolved, with updates reflected in the CRM and surfaced in the PRO app.</t>
        </is>
      </c>
      <c r="F86" s="70" t="inlineStr">
        <is>
          <t>2 (Use Cases)</t>
        </is>
      </c>
      <c r="G86" s="70" t="n">
        <v>1</v>
      </c>
      <c r="H86" s="70" t="inlineStr">
        <is>
          <t>Covered</t>
        </is>
      </c>
    </row>
    <row r="87">
      <c r="A87" s="70" t="inlineStr">
        <is>
          <t>M-CR-6</t>
        </is>
      </c>
      <c r="B87" s="70" t="inlineStr">
        <is>
          <t>Financial Award</t>
        </is>
      </c>
      <c r="C87" s="70" t="inlineStr">
        <is>
          <t>LEK_FND_ Financial Award Business Rules &amp; Requirements_v4.docx</t>
        </is>
      </c>
      <c r="D87" s="70" t="inlineStr">
        <is>
          <t>How quickly can PROs see rebate accrual after a purchase?</t>
        </is>
      </c>
      <c r="E87" s="70" t="inlineStr">
        <is>
          <t>The loyalty engine must calculate provisional rebate accrual after transaction completion and make it visible in the PRO app within a defined latency window (target: within 1-2 weeks), based on transaction data received from POS / app / desktop. To further discuss latency window</t>
        </is>
      </c>
      <c r="F87" s="70" t="inlineStr">
        <is>
          <t>197 (Gap &amp; Edge Cases)</t>
        </is>
      </c>
      <c r="G87" s="70" t="n">
        <v>1</v>
      </c>
      <c r="H87" s="70" t="inlineStr">
        <is>
          <t>Covered</t>
        </is>
      </c>
    </row>
    <row r="88">
      <c r="A88" s="70" t="inlineStr">
        <is>
          <t>M-CR-7</t>
        </is>
      </c>
      <c r="B88" s="70" t="inlineStr">
        <is>
          <t>Financial Award</t>
        </is>
      </c>
      <c r="C88" s="70" t="inlineStr">
        <is>
          <t>LEK_FND_ Financial Award Business Rules &amp; Requirements_v4.docx</t>
        </is>
      </c>
      <c r="D88" s="70" t="inlineStr">
        <is>
          <t>What must be shown to PROs to demonstrate rebate value?</t>
        </is>
      </c>
      <c r="E88" s="70" t="inlineStr">
        <is>
          <t>Experience requirement with systems implications
The PRO app must present a clear view of rebate earnings, including cumulative earned value, progress toward tier thresholds, and a transaction-level breakdown sourced from the loyalty engine.</t>
        </is>
      </c>
      <c r="F88" s="70" t="inlineStr">
        <is>
          <t>56, 57 (Use Cases)</t>
        </is>
      </c>
      <c r="G88" s="70" t="n">
        <v>2</v>
      </c>
      <c r="H88" s="70" t="inlineStr">
        <is>
          <t>Covered</t>
        </is>
      </c>
    </row>
    <row r="89">
      <c r="A89" s="70" t="inlineStr">
        <is>
          <t>MC-TRN-1</t>
        </is>
      </c>
      <c r="B89" s="70" t="inlineStr">
        <is>
          <t>Marketing &amp; Comms</t>
        </is>
      </c>
      <c r="C89" s="70" t="inlineStr">
        <is>
          <t>LEK_FND_ Marketing &amp; Comms Business Rules &amp; Requirements_v2.docx</t>
        </is>
      </c>
      <c r="D89" s="70" t="inlineStr">
        <is>
          <t>What are the relevant dimensions that PRO communications may segment upon?</t>
        </is>
      </c>
      <c r="E89" s="70" t="inlineStr">
        <is>
          <t>The following data fields should be captured for marketing segmentation and notifications: 
PRO tier 
Seeded vs. unseeded status (in new program)
Spend YTD / progress toward next tier 
Ownership type (e.g., owner vs. delegate) 
PRO segment (e.g., designer vs. installer)
Further discussion may be required to identify relevant dimensions to segment upon for personalized communications.</t>
        </is>
      </c>
      <c r="F89" s="70" t="inlineStr">
        <is>
          <t>179 (Gap &amp; Edge Cases); 75 (Use Cases)</t>
        </is>
      </c>
      <c r="G89" s="70" t="n">
        <v>2</v>
      </c>
      <c r="H89" s="70" t="inlineStr">
        <is>
          <t>Covered</t>
        </is>
      </c>
    </row>
    <row r="90">
      <c r="A90" s="70" t="inlineStr">
        <is>
          <t>MC-TRN-2</t>
        </is>
      </c>
      <c r="B90" s="70" t="inlineStr">
        <is>
          <t>Marketing &amp; Comms</t>
        </is>
      </c>
      <c r="C90" s="70" t="inlineStr">
        <is>
          <t>LEK_FND_ Marketing &amp; Comms Business Rules &amp; Requirements_v2.docx</t>
        </is>
      </c>
      <c r="D90" s="70" t="inlineStr">
        <is>
          <t>What potential events do we want to be able to trigger email, text, and push app notifications based on?</t>
        </is>
      </c>
      <c r="E90" s="70" t="inlineStr">
        <is>
          <t>Marketing &amp; comms will need to develop targeted messaging upon multiple behavioral trigger events, including: 
Sign-up 
Tier promotion / demotion
Transaction
Account information update
Delivery order
Benefit redemption
Account inactivity</t>
        </is>
      </c>
      <c r="F90" s="70" t="inlineStr">
        <is>
          <t>172, 173, 174, 175 (Gap &amp; Edge Cases); 44, 45, 46, 75 (Use Cases)</t>
        </is>
      </c>
      <c r="G90" s="70" t="n">
        <v>8</v>
      </c>
      <c r="H90" s="70" t="inlineStr">
        <is>
          <t>Covered</t>
        </is>
      </c>
    </row>
    <row r="91">
      <c r="A91" s="70" t="inlineStr">
        <is>
          <t>MC-TRN-3</t>
        </is>
      </c>
      <c r="B91" s="70" t="inlineStr">
        <is>
          <t>Marketing &amp; Comms</t>
        </is>
      </c>
      <c r="C91" s="70" t="inlineStr">
        <is>
          <t>LEK_FND_ Marketing &amp; Comms Business Rules &amp; Requirements_v2.docx</t>
        </is>
      </c>
      <c r="D91" s="70" t="inlineStr">
        <is>
          <t>What data fields are required to capture relevant triggers for outreach?</t>
        </is>
      </c>
      <c r="E91" s="70" t="inlineStr">
        <is>
          <t>The following data fields will be needed to capture loyalty events and trigger appropriate notifications: 
PRO tier
Spend YTD / progress toward next tier 
Date of last transaction
Account status change date 
Benefit redemption (e.g., delivery) flags
Ownership type (e.g., owner vs. delegate) 
PRO segment (e.g., designer vs. installer)</t>
        </is>
      </c>
      <c r="F91" s="70" t="inlineStr">
        <is>
          <t>172, 173, 174, 175 (Gap &amp; Edge Cases); 44, 45, 46, 75, 76 (Use Cases)</t>
        </is>
      </c>
      <c r="G91" s="70" t="n">
        <v>9</v>
      </c>
      <c r="H91" s="70" t="inlineStr">
        <is>
          <t>Covered</t>
        </is>
      </c>
    </row>
    <row r="92">
      <c r="A92" s="70" t="inlineStr">
        <is>
          <t>MC-TRN-4</t>
        </is>
      </c>
      <c r="B92" s="70" t="inlineStr">
        <is>
          <t>Marketing &amp; Comms</t>
        </is>
      </c>
      <c r="C92" s="70" t="inlineStr">
        <is>
          <t>LEK_FND_ Marketing &amp; Comms Business Rules &amp; Requirements_v2.docx</t>
        </is>
      </c>
      <c r="D92" s="70" t="inlineStr">
        <is>
          <t>How should F&amp;D outreach and marketing connect PROs to the new program?</t>
        </is>
      </c>
      <c r="E92" s="70" t="inlineStr">
        <is>
          <t>Outreach and onboarding workflows must link to the PRO 2.0 app across channels to allow for a seamless introductory experience for the PRO, regardless of whether leads come from SMS, email, web, or in-store. Follow-up communications should encourage enrollment, activation, or first use where applicable.</t>
        </is>
      </c>
      <c r="F92" s="70" t="inlineStr">
        <is>
          <t>205 (Gap &amp; Edge Cases)</t>
        </is>
      </c>
      <c r="G92" s="70" t="n">
        <v>1</v>
      </c>
      <c r="H92" s="70" t="inlineStr">
        <is>
          <t>Covered</t>
        </is>
      </c>
    </row>
    <row r="93">
      <c r="A93" s="70" t="inlineStr">
        <is>
          <t>MC-TRN-5</t>
        </is>
      </c>
      <c r="B93" s="70" t="inlineStr">
        <is>
          <t>Marketing &amp; Comms</t>
        </is>
      </c>
      <c r="C93" s="70" t="inlineStr">
        <is>
          <t>LEK_FND_ Marketing &amp; Comms Business Rules &amp; Requirements_v2.docx</t>
        </is>
      </c>
      <c r="D93" s="70" t="inlineStr">
        <is>
          <t>How can PRO comms outreach lead data capture to support account transition?</t>
        </is>
      </c>
      <c r="E93" s="70" t="inlineStr">
        <is>
          <t>For accounts with incomplete business or user information, outreach to complete missing data may occur pre-transition to help facilitate the user-to-account mapping. CRM must track when data collection outreach is initiated by PRO, and what data is received to update &amp; future account level information.</t>
        </is>
      </c>
      <c r="F93" s="70" t="inlineStr">
        <is>
          <t>209 (Gap &amp; Edge Cases)</t>
        </is>
      </c>
      <c r="G93" s="70" t="n">
        <v>1</v>
      </c>
      <c r="H93" s="70" t="inlineStr">
        <is>
          <t>Covered</t>
        </is>
      </c>
    </row>
    <row r="94">
      <c r="A94" s="70" t="inlineStr">
        <is>
          <t>MC-TRN-6</t>
        </is>
      </c>
      <c r="B94" s="70" t="inlineStr">
        <is>
          <t>Marketing &amp; Comms</t>
        </is>
      </c>
      <c r="C94" s="70" t="inlineStr">
        <is>
          <t>LEK_FND_ Marketing &amp; Comms Business Rules &amp; Requirements_v2.docx</t>
        </is>
      </c>
      <c r="D94" s="70" t="inlineStr">
        <is>
          <t>How will marketing &amp; comms collect additional data from PPR members transitioning to the new program?</t>
        </is>
      </c>
      <c r="E94" s="70" t="inlineStr">
        <is>
          <t>Where possible, F&amp;D can leverage existing user information (email, phone, app) to initiate asynchronous outreach fill in any gaps in account-level data.
For accounts with incomplete information, CRM / POS must flag that information is incomplete / out of date. A complete account should include: 
Business name 
User name
Phone number
E-mail address
National account affiliation (if applicable)
Mailing address 
Home store 
Delegate relationship 
Reward selection (if applicable)
Language preference
Additionally, data on sign-up flows (e.g., QR scans, links, SMS) should be traceable in order for the marketing &amp; comms team to track performance across channels.</t>
        </is>
      </c>
      <c r="F94" s="70" t="inlineStr">
        <is>
          <t>151 (Gap &amp; Edge Cases)</t>
        </is>
      </c>
      <c r="G94" s="70" t="n">
        <v>1</v>
      </c>
      <c r="H94" s="70" t="inlineStr">
        <is>
          <t>Covered</t>
        </is>
      </c>
    </row>
    <row r="95">
      <c r="A95" s="70" t="inlineStr">
        <is>
          <t>MC-TRN-7</t>
        </is>
      </c>
      <c r="B95" s="70" t="inlineStr">
        <is>
          <t>Marketing &amp; Comms</t>
        </is>
      </c>
      <c r="C95" s="70" t="inlineStr">
        <is>
          <t>LEK_FND_ Marketing &amp; Comms Business Rules &amp; Requirements_v2.docx</t>
        </is>
      </c>
      <c r="D95" s="70" t="inlineStr">
        <is>
          <t>Do we require an ‘incomplete’ data flag for store associates to assist in additional data collection?</t>
        </is>
      </c>
      <c r="E95" s="70" t="inlineStr">
        <is>
          <t>Associates should prompt PROs with incomplete profiles to update their information into the app or through Customer Care. Associates will not be responsible for inputting PRO information specifically.</t>
        </is>
      </c>
      <c r="F95" s="70" t="inlineStr">
        <is>
          <t>150, 233 (Gap &amp; Edge Cases)</t>
        </is>
      </c>
      <c r="G95" s="70" t="n">
        <v>2</v>
      </c>
      <c r="H95" s="70" t="inlineStr">
        <is>
          <t>Covered</t>
        </is>
      </c>
    </row>
    <row r="96">
      <c r="A96" s="70" t="inlineStr">
        <is>
          <t>MC-TRN-8</t>
        </is>
      </c>
      <c r="B96" s="70" t="inlineStr">
        <is>
          <t>Marketing &amp; Comms</t>
        </is>
      </c>
      <c r="C96" s="70" t="inlineStr">
        <is>
          <t>LEK_FND_ Marketing &amp; Comms Business Rules &amp; Requirements_v2.docx</t>
        </is>
      </c>
      <c r="D96" s="70" t="inlineStr">
        <is>
          <t>How will the Confirm2Pay process integrate with the PRO loyalty QR code?</t>
        </is>
      </c>
      <c r="E96" s="70" t="inlineStr">
        <is>
          <t>Any PRO accounts using Confirm2Pay should connect the transaction to the relevant PRO account, enabling accurate identification of the customer and proper loyalty accrual. In this case a separate QR code is not needed to attach the transaction.</t>
        </is>
      </c>
      <c r="F96" s="70" t="inlineStr">
        <is>
          <t>163 (Gap &amp; Edge Cases)</t>
        </is>
      </c>
      <c r="G96" s="70" t="n">
        <v>1</v>
      </c>
      <c r="H96" s="70" t="inlineStr">
        <is>
          <t>Covered</t>
        </is>
      </c>
    </row>
    <row r="97">
      <c r="A97" s="70" t="inlineStr">
        <is>
          <t>MC-TRN-9</t>
        </is>
      </c>
      <c r="B97" s="70" t="inlineStr">
        <is>
          <t>Marketing &amp; Comms</t>
        </is>
      </c>
      <c r="C97" s="70" t="inlineStr">
        <is>
          <t>LEK_FND_ Marketing &amp; Comms Business Rules &amp; Requirements_v2.docx</t>
        </is>
      </c>
      <c r="D97" s="70" t="inlineStr">
        <is>
          <t>What communications need to be translated into Spanish?</t>
        </is>
      </c>
      <c r="E97" s="70" t="inlineStr">
        <is>
          <t>All communications (incl. email outreach, in-store materials, etc.) should be translated into Spanish.</t>
        </is>
      </c>
      <c r="F97" s="70" t="inlineStr">
        <is>
          <t>157, 178 (Gap &amp; Edge Cases)</t>
        </is>
      </c>
      <c r="G97" s="70" t="n">
        <v>2</v>
      </c>
      <c r="H97" s="70" t="inlineStr">
        <is>
          <t>Covered</t>
        </is>
      </c>
    </row>
    <row r="98">
      <c r="A98" s="70" t="inlineStr">
        <is>
          <t>MC-TMI-1</t>
        </is>
      </c>
      <c r="B98" s="70" t="inlineStr">
        <is>
          <t>Marketing &amp; Comms</t>
        </is>
      </c>
      <c r="C98" s="70" t="inlineStr">
        <is>
          <t>LEK_FND_ Marketing &amp; Comms Business Rules &amp; Requirements_v2.docx</t>
        </is>
      </c>
      <c r="D98" s="70" t="inlineStr">
        <is>
          <t>How should PRO consent for text marketing be captured and maintained?</t>
        </is>
      </c>
      <c r="E98" s="70" t="inlineStr">
        <is>
          <t>PRO consent for text marketing must be explicitly captured through digital channels (e.g., PRO app at launch, lifecycle communications)
The future-state model must capture and store consent status through the CRM at the user level, including opt-in, opt-out, and consent timestamp, and must make that status available to the systems used for campaign execution and audience selection.</t>
        </is>
      </c>
      <c r="F98" s="70" t="inlineStr">
        <is>
          <t>176, 177, 238 (Gap &amp; Edge Cases); 76 (Use Cases)</t>
        </is>
      </c>
      <c r="G98" s="70" t="n">
        <v>4</v>
      </c>
      <c r="H98" s="70" t="inlineStr">
        <is>
          <t>Covered</t>
        </is>
      </c>
    </row>
    <row r="99">
      <c r="A99" s="70" t="inlineStr">
        <is>
          <t>MC-TMI-2</t>
        </is>
      </c>
      <c r="B99" s="70" t="inlineStr">
        <is>
          <t>Marketing &amp; Comms</t>
        </is>
      </c>
      <c r="C99" s="70" t="inlineStr">
        <is>
          <t>LEK_FND_ Marketing &amp; Comms Business Rules &amp; Requirements_v2.docx</t>
        </is>
      </c>
      <c r="D99" s="70" t="inlineStr">
        <is>
          <t>How should text marketing capabilities be integrated into CRM?</t>
        </is>
      </c>
      <c r="E99" s="70" t="inlineStr">
        <is>
          <t>The CRM needs to integrate with a third-party text marketing program (e.g., Braze, Attentive) to connect to PRO accounts and coordinate with broader marketing communications.</t>
        </is>
      </c>
      <c r="F99" s="70" t="inlineStr">
        <is>
          <t>180 (Gap &amp; Edge Cases); 77 (Use Cases)</t>
        </is>
      </c>
      <c r="G99" s="70" t="n">
        <v>2</v>
      </c>
      <c r="H99" s="70" t="inlineStr">
        <is>
          <t>Covered</t>
        </is>
      </c>
    </row>
    <row r="100">
      <c r="A100" s="70" t="inlineStr">
        <is>
          <t>MC-TMI-3</t>
        </is>
      </c>
      <c r="B100" s="70" t="inlineStr">
        <is>
          <t>Marketing &amp; Comms</t>
        </is>
      </c>
      <c r="C100" s="70" t="inlineStr">
        <is>
          <t>LEK_FND_ Marketing &amp; Comms Business Rules &amp; Requirements_v2.docx</t>
        </is>
      </c>
      <c r="D100" s="70" t="inlineStr">
        <is>
          <t>What data must be available to support SMS targeting and personalization?</t>
        </is>
      </c>
      <c r="E100" s="70" t="inlineStr">
        <is>
          <t>The CRM needs to be able to share text messaging segmented by key data fields listed in MC-TRN-2 at key trigger points listed in MC-TRN-3 with third-party text marketing program (e.g., Braze, Attentive) to create targeted messaging audiences and content.</t>
        </is>
      </c>
      <c r="F100" s="70" t="inlineStr">
        <is>
          <t>180 (Gap &amp; Edge Cases); 77 (Use Cases)</t>
        </is>
      </c>
      <c r="G100" s="70" t="n">
        <v>2</v>
      </c>
      <c r="H100" s="70" t="inlineStr">
        <is>
          <t>Covered</t>
        </is>
      </c>
    </row>
    <row r="101">
      <c r="A101" s="70" t="inlineStr">
        <is>
          <t>MC-TMI-4</t>
        </is>
      </c>
      <c r="B101" s="70" t="inlineStr">
        <is>
          <t>Marketing &amp; Comms</t>
        </is>
      </c>
      <c r="C101" s="70" t="inlineStr">
        <is>
          <t>LEK_FND_ Marketing &amp; Comms Business Rules &amp; Requirements_v2.docx</t>
        </is>
      </c>
      <c r="D101" s="70" t="inlineStr">
        <is>
          <t>What KPI reporting should be available for text marketing performance?</t>
        </is>
      </c>
      <c r="E101" s="70" t="inlineStr">
        <is>
          <t>The function must deliver reporting on core SMS metrics such as audience size, PRO spend, engagement, conversion, opt-out activity, and other measures needed to evaluate communication effectiveness. KPI reporting outputs should allow the team to monitor both operational performance and the role of text messaging within broader PRO loyalty comms.</t>
        </is>
      </c>
      <c r="F101" s="70" t="inlineStr">
        <is>
          <t>179 (Gap &amp; Edge Cases)</t>
        </is>
      </c>
      <c r="G101" s="70" t="n">
        <v>1</v>
      </c>
      <c r="H101" s="70" t="inlineStr">
        <is>
          <t>Covered</t>
        </is>
      </c>
    </row>
    <row r="102">
      <c r="A102" s="70" t="inlineStr">
        <is>
          <t>MC-TMI-5</t>
        </is>
      </c>
      <c r="B102" s="70" t="inlineStr">
        <is>
          <t>Marketing &amp; Comms</t>
        </is>
      </c>
      <c r="C102" s="70" t="inlineStr">
        <is>
          <t>LEK_FND_ Marketing &amp; Comms Business Rules &amp; Requirements_v2.docx</t>
        </is>
      </c>
      <c r="D102" s="70" t="inlineStr">
        <is>
          <t>What level of segmentation will be required to evaluate text marketing KPIs?</t>
        </is>
      </c>
      <c r="E102" s="70" t="inlineStr">
        <is>
          <t>KPI reporting segmented by key data fields listed in MC-TRN-1 should be available for text marketing performance.</t>
        </is>
      </c>
      <c r="F102" s="70" t="inlineStr">
        <is>
          <t>179 (Gap &amp; Edge Cases)</t>
        </is>
      </c>
      <c r="G102" s="70" t="n">
        <v>1</v>
      </c>
      <c r="H102" s="70" t="inlineStr">
        <is>
          <t>Covered</t>
        </is>
      </c>
    </row>
    <row r="103">
      <c r="A103" s="70" t="inlineStr">
        <is>
          <t>MC-TMI-6</t>
        </is>
      </c>
      <c r="B103" s="70" t="inlineStr">
        <is>
          <t>Marketing &amp; Comms</t>
        </is>
      </c>
      <c r="C103" s="70" t="inlineStr">
        <is>
          <t>LEK_FND_ Marketing &amp; Comms Business Rules &amp; Requirements_v2.docx</t>
        </is>
      </c>
      <c r="D103" s="70" t="inlineStr">
        <is>
          <t>What text marketing needs to be translated into Spanish?</t>
        </is>
      </c>
      <c r="E103" s="70" t="inlineStr">
        <is>
          <t>All text marketing outreach communications should be translated into Spanish.</t>
        </is>
      </c>
      <c r="F103" s="70" t="inlineStr">
        <is>
          <t>157, 178 (Gap &amp; Edge Cases)</t>
        </is>
      </c>
      <c r="G103" s="70" t="n">
        <v>2</v>
      </c>
      <c r="H103" s="70" t="inlineStr">
        <is>
          <t>Covered</t>
        </is>
      </c>
    </row>
    <row r="104">
      <c r="A104" s="70" t="inlineStr">
        <is>
          <t>S-1</t>
        </is>
      </c>
      <c r="B104" s="70" t="inlineStr">
        <is>
          <t>Samples</t>
        </is>
      </c>
      <c r="C104" s="70" t="inlineStr">
        <is>
          <t>LEK_FND_ Samples Business Rules &amp; Requirements_v2.docx</t>
        </is>
      </c>
      <c r="D104" s="70" t="inlineStr">
        <is>
          <t>How should the system determine whether a PRO is eligible for free samples based on current loyalty tier and any usage limits?</t>
        </is>
      </c>
      <c r="E104" s="70" t="inlineStr">
        <is>
          <t>The loyalty engine must determine sample eligibility based on the PRO’s current tier status and any defined sample usage limits for the applicable period. That eligibility status must be passed to POS. POS must call or receive eligibility logic from the loyalty engine so the PRO’s sample benefit can be validated automatically using account, tier, and usage data. The system should surface whether the sample qualifies for free fulfillment and apply the benefit without relying on cashier memory or manual override except for defined exceptions.</t>
        </is>
      </c>
      <c r="F104" s="70" t="inlineStr">
        <is>
          <t>8, 14, 79, 80, 81 (Use Cases)</t>
        </is>
      </c>
      <c r="G104" s="70" t="n">
        <v>5</v>
      </c>
      <c r="H104" s="70" t="inlineStr">
        <is>
          <t>Covered</t>
        </is>
      </c>
    </row>
    <row r="105">
      <c r="A105" s="70" t="inlineStr">
        <is>
          <t>S-2</t>
        </is>
      </c>
      <c r="B105" s="70" t="inlineStr">
        <is>
          <t>Samples</t>
        </is>
      </c>
      <c r="C105" s="70" t="inlineStr">
        <is>
          <t>LEK_FND_ Samples Business Rules &amp; Requirements_v2.docx</t>
        </is>
      </c>
      <c r="D105" s="70" t="inlineStr">
        <is>
          <t>How will the exact sample benefit be defined (e.g., unit based, cost based), and which SKUs will be eligible?</t>
        </is>
      </c>
      <c r="E105" s="70" t="inlineStr">
        <is>
          <t>For launch, the existing sample eligibility rules and SKU lists should be maintained. There should be no change to free sample eligibility. 
As the sample program evolves beyond the scope of launch, systems must be able to support updates to sample eligibility rules and SKUs, ensuring that any future changes can be consistently reflected across platforms.</t>
        </is>
      </c>
      <c r="F105" s="70" t="inlineStr">
        <is>
          <t>187 (Gap &amp; Edge Cases); 9, 13, 49, 50, 51, 79, 80, 81 (Use Cases)</t>
        </is>
      </c>
      <c r="G105" s="70" t="n">
        <v>9</v>
      </c>
      <c r="H105" s="70" t="inlineStr">
        <is>
          <t>Covered</t>
        </is>
      </c>
    </row>
    <row r="106">
      <c r="A106" s="70" t="inlineStr">
        <is>
          <t>S-5</t>
        </is>
      </c>
      <c r="B106" s="70" t="inlineStr">
        <is>
          <t>Samples</t>
        </is>
      </c>
      <c r="C106" s="70" t="inlineStr">
        <is>
          <t>LEK_FND_ Samples Business Rules &amp; Requirements_v2.docx</t>
        </is>
      </c>
      <c r="D106" s="70" t="inlineStr">
        <is>
          <t>How should the store validate a PRO’s eligibility automatically so associates do not need to rely on manual overrides to provide samples for free?</t>
        </is>
      </c>
      <c r="E106" s="70" t="inlineStr">
        <is>
          <t>Associates will not be able to manually override SKUs that are ineligible. Eligibility will be automatically flagged by the POS and Associates will need to validate that samples being ordered are eligible.</t>
        </is>
      </c>
      <c r="F106" s="70" t="inlineStr">
        <is>
          <t>83 (Use Cases)</t>
        </is>
      </c>
      <c r="G106" s="70" t="n">
        <v>1</v>
      </c>
      <c r="H106" s="70" t="inlineStr">
        <is>
          <t>Covered</t>
        </is>
      </c>
    </row>
    <row r="107">
      <c r="A107" s="70" t="inlineStr">
        <is>
          <t>S-6</t>
        </is>
      </c>
      <c r="B107" s="70" t="inlineStr">
        <is>
          <t>Samples</t>
        </is>
      </c>
      <c r="C107" s="70" t="inlineStr">
        <is>
          <t>LEK_FND_ Samples Business Rules &amp; Requirements_v2.docx</t>
        </is>
      </c>
      <c r="D107" s="70" t="inlineStr">
        <is>
          <t>How should inventory availability be checked before a PRO is offered or allowed to request a free sample through existing fulfillment processes?</t>
        </is>
      </c>
      <c r="E107" s="70" t="inlineStr">
        <is>
          <t>For launch, loyalty-eligible free sample requests must route through the existing sample fulfillment center workflow rather than a new fulfillment model.</t>
        </is>
      </c>
      <c r="F107" s="70" t="inlineStr">
        <is>
          <t>185 (Gap &amp; Edge Cases)</t>
        </is>
      </c>
      <c r="G107" s="70" t="n">
        <v>1</v>
      </c>
      <c r="H107" s="70" t="inlineStr">
        <is>
          <t>Covered</t>
        </is>
      </c>
    </row>
    <row r="108">
      <c r="A108" s="70" t="inlineStr">
        <is>
          <t>S-7</t>
        </is>
      </c>
      <c r="B108" s="70" t="inlineStr">
        <is>
          <t>Samples</t>
        </is>
      </c>
      <c r="C108" s="70" t="inlineStr">
        <is>
          <t>LEK_FND_ Samples Business Rules &amp; Requirements_v2.docx</t>
        </is>
      </c>
      <c r="D108" s="70" t="inlineStr">
        <is>
          <t>How should sample usage be tracked at the SKU level by PRO within the loyalty engine?</t>
        </is>
      </c>
      <c r="E108" s="70" t="inlineStr">
        <is>
          <t>For launch, current free sample tracking systems should be utilized must integrate with loyalty engine to centralize sample tracking by PRO and tier.</t>
        </is>
      </c>
      <c r="F108" s="70" t="inlineStr">
        <is>
          <t>185 (Gap &amp; Edge Cases); 8, 18, 84 (Use Cases)</t>
        </is>
      </c>
      <c r="G108" s="70" t="n">
        <v>4</v>
      </c>
      <c r="H108" s="70" t="inlineStr">
        <is>
          <t>Covered</t>
        </is>
      </c>
    </row>
    <row r="109">
      <c r="A109" s="70" t="inlineStr">
        <is>
          <t>S-8</t>
        </is>
      </c>
      <c r="B109" s="70" t="inlineStr">
        <is>
          <t>Samples</t>
        </is>
      </c>
      <c r="C109" s="70" t="inlineStr">
        <is>
          <t>LEK_FND_ Samples Business Rules &amp; Requirements_v2.docx</t>
        </is>
      </c>
      <c r="D109" s="70" t="inlineStr">
        <is>
          <t>What should happen if a PRO requests a non-eligible SKU, or requests a category that does not offer samples?</t>
        </is>
      </c>
      <c r="E109" s="70" t="inlineStr">
        <is>
          <t>Store Associates should follow existing sample SOPs for new free sample workflows, including handling of non-eligible SKUs or categories that do not support samples. No changes to current processes are required.</t>
        </is>
      </c>
      <c r="F109" s="70" t="inlineStr">
        <is>
          <t>83 (Use Cases)</t>
        </is>
      </c>
      <c r="G109" s="70" t="n">
        <v>1</v>
      </c>
      <c r="H109" s="70" t="inlineStr">
        <is>
          <t>Covered</t>
        </is>
      </c>
    </row>
    <row r="110">
      <c r="A110" s="70" t="inlineStr">
        <is>
          <t>S-9</t>
        </is>
      </c>
      <c r="B110" s="70" t="inlineStr">
        <is>
          <t>Samples</t>
        </is>
      </c>
      <c r="C110" s="70" t="inlineStr">
        <is>
          <t>LEK_FND_ Samples Business Rules &amp; Requirements_v2.docx</t>
        </is>
      </c>
      <c r="D110" s="70" t="inlineStr">
        <is>
          <t>What reporting and performance metrics are required to monitor sample benefit usage, fulfillment volume, cost, and operational impact?</t>
        </is>
      </c>
      <c r="E110" s="70" t="inlineStr">
        <is>
          <t>Existing reporting and performance metrics should be leveraged to monitor sample fulfillment volume and cost. Existing systems must integrate with the loyalty engine to track sample benefit usage by PRO and tier.</t>
        </is>
      </c>
      <c r="F110" s="70" t="inlineStr">
        <is>
          <t>85 (Use Cases)</t>
        </is>
      </c>
      <c r="G110" s="70" t="n">
        <v>1</v>
      </c>
      <c r="H110" s="70" t="inlineStr">
        <is>
          <t>Covered</t>
        </is>
      </c>
    </row>
    <row r="111">
      <c r="A111" s="70" t="inlineStr">
        <is>
          <t>CRM-AS-1</t>
        </is>
      </c>
      <c r="B111" s="70" t="inlineStr">
        <is>
          <t>CRM</t>
        </is>
      </c>
      <c r="C111" s="70" t="inlineStr">
        <is>
          <t>LEK_FND_CRM Business Rules &amp; Requirements_v3.docx</t>
        </is>
      </c>
      <c r="D111" s="70" t="inlineStr">
        <is>
          <t>What is the primary entity that will receive loyalty rewards and how will they be represented in the CRM?</t>
        </is>
      </c>
      <c r="E111" s="70" t="inlineStr">
        <is>
          <t>The CRM must support two loyalty account types: 1) Individual accounts with a single user and no delegates, and 2) Business accounts with a single account owner and one or more delegates / users. All loyalty, spend, and activity must roll to the account, with roles stored at the account-contact relationship level</t>
        </is>
      </c>
      <c r="F111" s="70" t="inlineStr">
        <is>
          <t>149 (Gap &amp; Edge Cases); 6 (Use Cases)</t>
        </is>
      </c>
      <c r="G111" s="70" t="n">
        <v>2</v>
      </c>
      <c r="H111" s="70" t="inlineStr">
        <is>
          <t>Covered</t>
        </is>
      </c>
    </row>
    <row r="112">
      <c r="A112" s="70" t="inlineStr">
        <is>
          <t>CRM-AS-2</t>
        </is>
      </c>
      <c r="B112" s="70" t="inlineStr">
        <is>
          <t>CRM</t>
        </is>
      </c>
      <c r="C112" s="70" t="inlineStr">
        <is>
          <t>LEK_FND_CRM Business Rules &amp; Requirements_v3.docx</t>
        </is>
      </c>
      <c r="D112" s="70" t="inlineStr">
        <is>
          <t>What uniquely identifies a PRO account across systems?</t>
        </is>
      </c>
      <c r="E112" s="70" t="inlineStr">
        <is>
          <t>A loyalty member ID and a primary user email address will uniquely identify a PRO account across systems. A user email address will only be allowed as the primary user for an account on one loyalty account.</t>
        </is>
      </c>
      <c r="F112" s="70" t="inlineStr">
        <is>
          <t>6 (Use Cases)</t>
        </is>
      </c>
      <c r="G112" s="70" t="n">
        <v>1</v>
      </c>
      <c r="H112" s="70" t="inlineStr">
        <is>
          <t>Covered</t>
        </is>
      </c>
    </row>
    <row r="113">
      <c r="A113" s="70" t="inlineStr">
        <is>
          <t>CRM-AS-3</t>
        </is>
      </c>
      <c r="B113" s="70" t="inlineStr">
        <is>
          <t>CRM</t>
        </is>
      </c>
      <c r="C113" s="70" t="inlineStr">
        <is>
          <t>LEK_FND_CRM Business Rules &amp; Requirements_v3.docx</t>
        </is>
      </c>
      <c r="D113" s="70" t="inlineStr">
        <is>
          <t>Can a homeowner create a loyalty account, and how are they treated within the system?</t>
        </is>
      </c>
      <c r="E113" s="70" t="inlineStr">
        <is>
          <t>The CRM must allow individuals classified as homeowners to create accounts within the loyalty program. These accounts must be represented using the same account structure (account + contact profile) as PRO accounts.
Homeowner accounts must be subject to the same spend thresholds and program rules as PRO accounts and must not receive differentiated treatment in loyalty benefit eligibility unless explicitly defined in program rules.
The CRM should contain a flag to identify if a loyalty account is a homeowner with a PRO rewards account.</t>
        </is>
      </c>
      <c r="F113" s="70" t="inlineStr">
        <is>
          <t>133 (Gap &amp; Edge Cases); 99 (Use Cases)</t>
        </is>
      </c>
      <c r="G113" s="70" t="n">
        <v>2</v>
      </c>
      <c r="H113" s="70" t="inlineStr">
        <is>
          <t>Covered</t>
        </is>
      </c>
    </row>
    <row r="114">
      <c r="A114" s="70" t="inlineStr">
        <is>
          <t>CRM-AS-4</t>
        </is>
      </c>
      <c r="B114" s="70" t="inlineStr">
        <is>
          <t>CRM</t>
        </is>
      </c>
      <c r="C114" s="70" t="inlineStr">
        <is>
          <t>LEK_FND_CRM Business Rules &amp; Requirements_v3.docx</t>
        </is>
      </c>
      <c r="D114" s="70" t="inlineStr">
        <is>
          <t>How many owners can an account have?</t>
        </is>
      </c>
      <c r="E114" s="70" t="inlineStr">
        <is>
          <t>The CRM must require exactly one account owner ‘primary’ per PRO account. The account primary is a role assigned to a contact profile within the account and must be designated at account creation. Administrators can be added through account permissions, initially assigned by the account primary.</t>
        </is>
      </c>
      <c r="F114" s="70" t="inlineStr">
        <is>
          <t>156 (Gap &amp; Edge Cases)</t>
        </is>
      </c>
      <c r="G114" s="70" t="n">
        <v>1</v>
      </c>
      <c r="H114" s="70" t="inlineStr">
        <is>
          <t>Covered</t>
        </is>
      </c>
    </row>
    <row r="115">
      <c r="A115" s="70" t="inlineStr">
        <is>
          <t>CRM-AS-5</t>
        </is>
      </c>
      <c r="B115" s="70" t="inlineStr">
        <is>
          <t>CRM</t>
        </is>
      </c>
      <c r="C115" s="70" t="inlineStr">
        <is>
          <t>LEK_FND_CRM Business Rules &amp; Requirements_v3.docx</t>
        </is>
      </c>
      <c r="D115" s="70" t="inlineStr">
        <is>
          <t>Who is designated as the account primary?</t>
        </is>
      </c>
      <c r="E115" s="70" t="inlineStr">
        <is>
          <t>The CRM must designate a single account owner / primary per PRO account, defined as the contact profile representing the primary business owner or franchise operator responsible for that account. This role is assigned at the account-user relationship level and serves as the sole recipient of all loyalty benefits associated with the account. The primary / owner structure should be reflected in the loyalty engine as well.</t>
        </is>
      </c>
      <c r="F115" s="70" t="inlineStr">
        <is>
          <t>21 (Use Cases)</t>
        </is>
      </c>
      <c r="G115" s="70" t="n">
        <v>1</v>
      </c>
      <c r="H115" s="70" t="inlineStr">
        <is>
          <t>Covered</t>
        </is>
      </c>
    </row>
    <row r="116">
      <c r="A116" s="70" t="inlineStr">
        <is>
          <t>CRM-AS-6</t>
        </is>
      </c>
      <c r="B116" s="70" t="inlineStr">
        <is>
          <t>CRM</t>
        </is>
      </c>
      <c r="C116" s="70" t="inlineStr">
        <is>
          <t>LEK_FND_CRM Business Rules &amp; Requirements_v3.docx</t>
        </is>
      </c>
      <c r="D116" s="70" t="inlineStr">
        <is>
          <t>What defines an account primary?</t>
        </is>
      </c>
      <c r="E116" s="70" t="inlineStr">
        <is>
          <t>Account primaries will self-identify as the individual authorized to manage account information and reward currency on behalf of the business. Self-identification is crucial to limit ownership adjudication done by FND and liability for providing benefits to owners.</t>
        </is>
      </c>
      <c r="F116" s="70" t="inlineStr">
        <is>
          <t>152 (Gap &amp; Edge Cases)</t>
        </is>
      </c>
      <c r="G116" s="70" t="n">
        <v>1</v>
      </c>
      <c r="H116" s="70" t="inlineStr">
        <is>
          <t>Covered</t>
        </is>
      </c>
    </row>
    <row r="117">
      <c r="A117" s="70" t="inlineStr">
        <is>
          <t>CRM-AS-7</t>
        </is>
      </c>
      <c r="B117" s="70" t="inlineStr">
        <is>
          <t>CRM</t>
        </is>
      </c>
      <c r="C117" s="70" t="inlineStr">
        <is>
          <t>LEK_FND_CRM Business Rules &amp; Requirements_v3.docx</t>
        </is>
      </c>
      <c r="D117" s="70" t="inlineStr">
        <is>
          <t>What role does the account primary play?</t>
        </is>
      </c>
      <c r="E117" s="70" t="inlineStr">
        <is>
          <t>The CRM and downstream systems (loyalty engine, PRO app, POS) must identify the account primary and treat them as the sole recipient of all loyalty benefits and the primary controller of account permissions.</t>
        </is>
      </c>
      <c r="F117" s="70" t="inlineStr">
        <is>
          <t>21 (Use Cases)</t>
        </is>
      </c>
      <c r="G117" s="70" t="n">
        <v>1</v>
      </c>
      <c r="H117" s="70" t="inlineStr">
        <is>
          <t>Covered</t>
        </is>
      </c>
    </row>
    <row r="118">
      <c r="A118" s="70" t="inlineStr">
        <is>
          <t>CRM-AS-8</t>
        </is>
      </c>
      <c r="B118" s="70" t="inlineStr">
        <is>
          <t>CRM</t>
        </is>
      </c>
      <c r="C118" s="70" t="inlineStr">
        <is>
          <t>LEK_FND_CRM Business Rules &amp; Requirements_v3.docx</t>
        </is>
      </c>
      <c r="D118" s="70" t="inlineStr">
        <is>
          <t>What are delegate accounts?</t>
        </is>
      </c>
      <c r="E118" s="70" t="inlineStr">
        <is>
          <t>The CRM must allow for contact profiles to be associated with a PRO account and assigned a delegate role. Delegates represent individuals (e.g., runners, subcontractors) who can transact on behalf of the account but cannot redeem loyalty rewards. A contact may serve as a delegate for one account while acting as an account primary for another.</t>
        </is>
      </c>
      <c r="F118" s="70" t="inlineStr">
        <is>
          <t>21 (Use Cases)</t>
        </is>
      </c>
      <c r="G118" s="70" t="n">
        <v>1</v>
      </c>
      <c r="H118" s="70" t="inlineStr">
        <is>
          <t>Covered</t>
        </is>
      </c>
    </row>
    <row r="119">
      <c r="A119" s="70" t="inlineStr">
        <is>
          <t>CRM-AS-9</t>
        </is>
      </c>
      <c r="B119" s="70" t="inlineStr">
        <is>
          <t>CRM</t>
        </is>
      </c>
      <c r="C119" s="70" t="inlineStr">
        <is>
          <t>LEK_FND_CRM Business Rules &amp; Requirements_v3.docx</t>
        </is>
      </c>
      <c r="D119" s="70" t="inlineStr">
        <is>
          <t>What complexities must be supported when a single individual is associated with multiple PRO accounts?</t>
        </is>
      </c>
      <c r="E119" s="70" t="inlineStr">
        <is>
          <t>The CRM must support scenarios where a single user profile is associated with multiple PRO accounts, each with a distinct role and relationship.
The loyalty engine must ensure that transactions are attributed to the correct account, roles and permissions are applied per account, not at the individual level, and Loyalty benefits are routed to the correct account owner.</t>
        </is>
      </c>
      <c r="F119" s="70" t="inlineStr">
        <is>
          <t>147 (Gap &amp; Edge Cases); 28 (Use Cases)</t>
        </is>
      </c>
      <c r="G119" s="70" t="n">
        <v>2</v>
      </c>
      <c r="H119" s="70" t="inlineStr">
        <is>
          <t>Covered</t>
        </is>
      </c>
    </row>
    <row r="120">
      <c r="A120" s="70" t="inlineStr">
        <is>
          <t>CRM-AS-10</t>
        </is>
      </c>
      <c r="B120" s="70" t="inlineStr">
        <is>
          <t>CRM</t>
        </is>
      </c>
      <c r="C120" s="70" t="inlineStr">
        <is>
          <t>LEK_FND_CRM Business Rules &amp; Requirements_v3.docx</t>
        </is>
      </c>
      <c r="D120" s="70" t="inlineStr">
        <is>
          <t>Can a delegate be associated with multiple accounts?</t>
        </is>
      </c>
      <c r="E120" s="70" t="inlineStr">
        <is>
          <t>The CRM must allow a single individual (user) to be associated with multiple PRO accounts, with each relationship stored and managed separately. A user may serve as an account primary for one account while simultaneously acting as a delegate for one or more other accounts.
The system must distinguish between users (individual users who can take on different roles) and accounts (personal or business entities that receive loyalty benefits).
Roles (account primary vs delegate) must be defined at the account-contact relationship level, not at the individual user level.</t>
        </is>
      </c>
      <c r="F120" s="70" t="inlineStr">
        <is>
          <t>147, 171 (Gap &amp; Edge Cases); 28 (Use Cases)</t>
        </is>
      </c>
      <c r="G120" s="70" t="n">
        <v>3</v>
      </c>
      <c r="H120" s="70" t="inlineStr">
        <is>
          <t>Covered</t>
        </is>
      </c>
    </row>
    <row r="121">
      <c r="A121" s="70" t="inlineStr">
        <is>
          <t>CRM-AS-11</t>
        </is>
      </c>
      <c r="B121" s="70" t="inlineStr">
        <is>
          <t>CRM</t>
        </is>
      </c>
      <c r="C121" s="70" t="inlineStr">
        <is>
          <t>LEK_FND_CRM Business Rules &amp; Requirements_v3.docx</t>
        </is>
      </c>
      <c r="D121" s="70" t="inlineStr">
        <is>
          <t>How is a delegate uniquely identified?</t>
        </is>
      </c>
      <c r="E121" s="70" t="inlineStr">
        <is>
          <t>The CRM must maintain a unique identifier for each user profile (e.g., email, phone number, user ID) to prevent duplicate individuals across accounts. Contact profiles must be linked to accounts through defined relationships and role assignments.</t>
        </is>
      </c>
      <c r="F121" s="70" t="inlineStr">
        <is>
          <t>147 (Gap &amp; Edge Cases)</t>
        </is>
      </c>
      <c r="G121" s="70" t="n">
        <v>1</v>
      </c>
      <c r="H121" s="70" t="inlineStr">
        <is>
          <t>Covered</t>
        </is>
      </c>
    </row>
    <row r="122">
      <c r="A122" s="70" t="inlineStr">
        <is>
          <t>CRM-AS-12</t>
        </is>
      </c>
      <c r="B122" s="70" t="inlineStr">
        <is>
          <t>CRM</t>
        </is>
      </c>
      <c r="C122" s="70" t="inlineStr">
        <is>
          <t>LEK_FND_CRM Business Rules &amp; Requirements_v3.docx</t>
        </is>
      </c>
      <c r="D122" s="70" t="inlineStr">
        <is>
          <t>How does spend from delegates roll up to the account?</t>
        </is>
      </c>
      <c r="E122" s="70" t="inlineStr">
        <is>
          <t>The POS system must associate each transaction with a user profile and corresponding PRO account ID. The CRM and loyalty engine must aggregate all transaction activity to the account level while maintaining attribution to the originating user profile.</t>
        </is>
      </c>
      <c r="F122" s="70" t="inlineStr">
        <is>
          <t>56 (Use Cases)</t>
        </is>
      </c>
      <c r="G122" s="70" t="n">
        <v>1</v>
      </c>
      <c r="H122" s="70" t="inlineStr">
        <is>
          <t>Covered</t>
        </is>
      </c>
    </row>
    <row r="123">
      <c r="A123" s="70" t="inlineStr">
        <is>
          <t>CRM-AS-13</t>
        </is>
      </c>
      <c r="B123" s="70" t="inlineStr">
        <is>
          <t>CRM</t>
        </is>
      </c>
      <c r="C123" s="70" t="inlineStr">
        <is>
          <t>LEK_FND_CRM Business Rules &amp; Requirements_v3.docx</t>
        </is>
      </c>
      <c r="D123" s="70" t="inlineStr">
        <is>
          <t>Can a delegate belong to an account without being linked to transactions?</t>
        </is>
      </c>
      <c r="E123" s="70" t="inlineStr">
        <is>
          <t>The CRM must support user profiles that are linked to an account with an assigned role (e.g., account primary or delegate) even if they have not yet executed any transactions. Delegate relationships will be managed through the PRO app, and thus the CRM must receive feeds through the PRO app to add new users to a PRO account alongside their permissions.</t>
        </is>
      </c>
      <c r="F123" s="70" t="inlineStr">
        <is>
          <t>154 (Gap &amp; Edge Cases); 29, 30 (Use Cases)</t>
        </is>
      </c>
      <c r="G123" s="70" t="n">
        <v>3</v>
      </c>
      <c r="H123" s="70" t="inlineStr">
        <is>
          <t>Covered</t>
        </is>
      </c>
    </row>
    <row r="124">
      <c r="A124" s="70" t="inlineStr">
        <is>
          <t>CRM-AS-14</t>
        </is>
      </c>
      <c r="B124" s="70" t="inlineStr">
        <is>
          <t>CRM</t>
        </is>
      </c>
      <c r="C124" s="70" t="inlineStr">
        <is>
          <t>LEK_FND_CRM Business Rules &amp; Requirements_v3.docx</t>
        </is>
      </c>
      <c r="D124" s="70" t="inlineStr">
        <is>
          <t>Can an account exist without delegates?</t>
        </is>
      </c>
      <c r="E124" s="70" t="inlineStr">
        <is>
          <t>The CRM must allow an individual account to exist with only an account primary and no delegates.</t>
        </is>
      </c>
      <c r="F124" s="70" t="inlineStr">
        <is>
          <t>147 (Gap &amp; Edge Cases)</t>
        </is>
      </c>
      <c r="G124" s="70" t="n">
        <v>1</v>
      </c>
      <c r="H124" s="70" t="inlineStr">
        <is>
          <t>Covered</t>
        </is>
      </c>
    </row>
    <row r="125">
      <c r="A125" s="70" t="inlineStr">
        <is>
          <t>CRM-AS-15</t>
        </is>
      </c>
      <c r="B125" s="70" t="inlineStr">
        <is>
          <t>CRM</t>
        </is>
      </c>
      <c r="C125" s="70" t="inlineStr">
        <is>
          <t>LEK_FND_CRM Business Rules &amp; Requirements_v3.docx</t>
        </is>
      </c>
      <c r="D125" s="70" t="inlineStr">
        <is>
          <t>Can primary account ownership be changed?</t>
        </is>
      </c>
      <c r="E125" s="70" t="inlineStr">
        <is>
          <t>The CRM must support reassignment of the account owner role, with all permissions and benefit ownership transferring to the new primary. The process will be carried through either digitally or with the Customer care team. User authentication must be enabled to confirm the identity of both the transferring and inheriting user.</t>
        </is>
      </c>
      <c r="F125" s="70" t="inlineStr">
        <is>
          <t>31 (Use Cases)</t>
        </is>
      </c>
      <c r="G125" s="70" t="n">
        <v>1</v>
      </c>
      <c r="H125" s="70" t="inlineStr">
        <is>
          <t>Covered</t>
        </is>
      </c>
    </row>
    <row r="126">
      <c r="A126" s="70" t="inlineStr">
        <is>
          <t>CRM-AS-16</t>
        </is>
      </c>
      <c r="B126" s="70" t="inlineStr">
        <is>
          <t>CRM</t>
        </is>
      </c>
      <c r="C126" s="70" t="inlineStr">
        <is>
          <t>LEK_FND_CRM Business Rules &amp; Requirements_v3.docx</t>
        </is>
      </c>
      <c r="D126" s="70" t="inlineStr">
        <is>
          <t>What happens to historical data when account ownership changes?</t>
        </is>
      </c>
      <c r="E126" s="70" t="inlineStr">
        <is>
          <t>Permissions must be enforced based on role assignments at the account-user relationship level. The account primary must have full visibility and control, while user profiles assigned as delegates must have access limited to their own transaction activity unless additional permissions are explicitly granted.</t>
        </is>
      </c>
      <c r="F126" s="70" t="inlineStr">
        <is>
          <t>31 (Use Cases)</t>
        </is>
      </c>
      <c r="G126" s="70" t="n">
        <v>1</v>
      </c>
      <c r="H126" s="70" t="inlineStr">
        <is>
          <t>Covered</t>
        </is>
      </c>
    </row>
    <row r="127">
      <c r="A127" s="70" t="inlineStr">
        <is>
          <t>CRM-AS-17</t>
        </is>
      </c>
      <c r="B127" s="70" t="inlineStr">
        <is>
          <t>CRM</t>
        </is>
      </c>
      <c r="C127" s="70" t="inlineStr">
        <is>
          <t>LEK_FND_CRM Business Rules &amp; Requirements_v3.docx</t>
        </is>
      </c>
      <c r="D127" s="70" t="inlineStr">
        <is>
          <t>How are permissions enforced between owner and delegates?</t>
        </is>
      </c>
      <c r="E127" s="70" t="inlineStr">
        <is>
          <t>Permissions are enforced based on role assignments in the CRM. The role assignment in CRM must enforce permissions in such that the account owner has full visibility and control, while delegates have access to view account-level information based only on transactions they are associated with. 
Information on permission modification can be found in the appendix below.</t>
        </is>
      </c>
      <c r="F127" s="70" t="inlineStr">
        <is>
          <t>161 (Gap &amp; Edge Cases)</t>
        </is>
      </c>
      <c r="G127" s="70" t="n">
        <v>1</v>
      </c>
      <c r="H127" s="70" t="inlineStr">
        <is>
          <t>Covered</t>
        </is>
      </c>
    </row>
    <row r="128">
      <c r="A128" s="70" t="inlineStr">
        <is>
          <t>CRM-AS-18</t>
        </is>
      </c>
      <c r="B128" s="70" t="inlineStr">
        <is>
          <t>CRM</t>
        </is>
      </c>
      <c r="C128" s="70" t="inlineStr">
        <is>
          <t>LEK_FND_CRM Business Rules &amp; Requirements_v3.docx</t>
        </is>
      </c>
      <c r="D128" s="70" t="inlineStr">
        <is>
          <t>How are permissions granted between account owner and delegates?</t>
        </is>
      </c>
      <c r="E128" s="70" t="inlineStr">
        <is>
          <t>Permissions must be assigned at the account–user relationship level within the CRM and loyalty engine. Each user profile is linked to a PRO account with a defined role (account owner or delegate), and permissions are granted based on that role for that specific account. 
The system must support configurable permission levels for delegates (included below) and ensure that permissions are applied consistently across all integrated systems (POS, PRO app, and loyalty engine).</t>
        </is>
      </c>
      <c r="F128" s="70" t="inlineStr">
        <is>
          <t>27, 36 (Use Cases)</t>
        </is>
      </c>
      <c r="G128" s="70" t="n">
        <v>2</v>
      </c>
      <c r="H128" s="70" t="inlineStr">
        <is>
          <t>Covered</t>
        </is>
      </c>
    </row>
    <row r="129">
      <c r="A129" s="70" t="inlineStr">
        <is>
          <t>CRM-AS-19</t>
        </is>
      </c>
      <c r="B129" s="70" t="inlineStr">
        <is>
          <t>CRM</t>
        </is>
      </c>
      <c r="C129" s="70" t="inlineStr">
        <is>
          <t>LEK_FND_CRM Business Rules &amp; Requirements_v3.docx</t>
        </is>
      </c>
      <c r="D129" s="70" t="inlineStr">
        <is>
          <t>Can delegates be granted additional permissions?</t>
        </is>
      </c>
      <c r="E129" s="70" t="inlineStr">
        <is>
          <t>The CRM and app must support configurable permission levels for delegates (e.g., ability to view full account activity or redeem benefits), but the exact permission model must be defined.</t>
        </is>
      </c>
      <c r="F129" s="70" t="inlineStr">
        <is>
          <t>158 (Gap &amp; Edge Cases); 19, 20, 23 (Use Cases)</t>
        </is>
      </c>
      <c r="G129" s="70" t="n">
        <v>4</v>
      </c>
      <c r="H129" s="70" t="inlineStr">
        <is>
          <t>Covered</t>
        </is>
      </c>
    </row>
    <row r="130">
      <c r="A130" s="70" t="inlineStr">
        <is>
          <t>CRM-AS-20</t>
        </is>
      </c>
      <c r="B130" s="70" t="inlineStr">
        <is>
          <t>CRM</t>
        </is>
      </c>
      <c r="C130" s="70" t="inlineStr">
        <is>
          <t>LEK_FND_CRM Business Rules &amp; Requirements_v3.docx</t>
        </is>
      </c>
      <c r="D130" s="70" t="inlineStr"/>
      <c r="E130" s="70" t="inlineStr">
        <is>
          <t>The CRM (Salesforce) must represent independently owned franchisees as separate PRO accounts, rather than aggregating activity at the national brand level. The system must ensure that all transactions, spend, and loyalty benefits are attributed to the local account owner associated with the specific franchise location.
National parent organizations may be maintained in the CRM for reference or reporting purposes, but must not receive or aggregate loyalty benefits.</t>
        </is>
      </c>
      <c r="F130" s="70" t="inlineStr">
        <is>
          <t>148 (Gap &amp; Edge Cases)</t>
        </is>
      </c>
      <c r="G130" s="70" t="n">
        <v>1</v>
      </c>
      <c r="H130" s="70" t="inlineStr">
        <is>
          <t>Covered</t>
        </is>
      </c>
    </row>
    <row r="131">
      <c r="A131" s="70" t="inlineStr">
        <is>
          <t>CRM-AS-21</t>
        </is>
      </c>
      <c r="B131" s="70" t="inlineStr">
        <is>
          <t>CRM</t>
        </is>
      </c>
      <c r="C131" s="70" t="inlineStr">
        <is>
          <t>LEK_FND_CRM Business Rules &amp; Requirements_v3.docx</t>
        </is>
      </c>
      <c r="D131" s="70" t="inlineStr">
        <is>
          <t>How are accounts linked to loyalty benefits?</t>
        </is>
      </c>
      <c r="E131" s="70" t="inlineStr">
        <is>
          <t>The CRM must serve as the system of record for account hierarchy, and all downstream systems (loyalty engine, POS, app, Oracle) must use the CRM’s account ID to assign and track benefits.</t>
        </is>
      </c>
      <c r="F131" s="70" t="inlineStr">
        <is>
          <t>73, 100 (Use Cases)</t>
        </is>
      </c>
      <c r="G131" s="70" t="n">
        <v>2</v>
      </c>
      <c r="H131" s="70" t="inlineStr">
        <is>
          <t>Covered</t>
        </is>
      </c>
    </row>
    <row r="132">
      <c r="A132" s="70" t="inlineStr">
        <is>
          <t>CRM-AS-22</t>
        </is>
      </c>
      <c r="B132" s="70" t="inlineStr">
        <is>
          <t>CRM</t>
        </is>
      </c>
      <c r="C132" s="70" t="inlineStr">
        <is>
          <t>LEK_FND_CRM Business Rules &amp; Requirements_v3.docx</t>
        </is>
      </c>
      <c r="D132" s="70" t="inlineStr">
        <is>
          <t>Can an email address be listed as the primary email for more than one loyalty account?</t>
        </is>
      </c>
      <c r="E132" s="70" t="inlineStr">
        <is>
          <t>No, the CRM and Loyalty engine should disallow individuals from using a single email address as a primary email on multiple PRO loyalty accounts. If a PRO wishes to become the primary user on multiple loyalty accounts, they must add a secondary unique email as to their user profile and use that email to create the new loyalty account. The CRM and loyalty engine must be capable of linking that user as a primary on both accounts.</t>
        </is>
      </c>
      <c r="F132" s="70" t="inlineStr">
        <is>
          <t>146, 153 (Gap &amp; Edge Cases)</t>
        </is>
      </c>
      <c r="G132" s="70" t="n">
        <v>2</v>
      </c>
      <c r="H132" s="70" t="inlineStr">
        <is>
          <t>Covered</t>
        </is>
      </c>
    </row>
    <row r="133">
      <c r="A133" s="70" t="inlineStr">
        <is>
          <t>CRM-CM-1</t>
        </is>
      </c>
      <c r="B133" s="70" t="inlineStr">
        <is>
          <t>CRM</t>
        </is>
      </c>
      <c r="C133" s="70" t="inlineStr">
        <is>
          <t>LEK_FND_CRM Business Rules &amp; Requirements_v3.docx</t>
        </is>
      </c>
      <c r="D133" s="70" t="inlineStr">
        <is>
          <t>How are existing PPR contacts mapped to new PRO accounts?</t>
        </is>
      </c>
      <c r="E133" s="70" t="inlineStr">
        <is>
          <t>The CRM (Salesforce) must map existing contact records to new PRO accounts, grouping contacts that belong to the same business entity into a single account based on self-identified user relationships. These relationships can be reported through digital channels (e.g., app) or added in central channels (e.g., customer care).</t>
        </is>
      </c>
      <c r="F133" s="70" t="inlineStr">
        <is>
          <t>7, 32 (Use Cases)</t>
        </is>
      </c>
      <c r="G133" s="70" t="n">
        <v>2</v>
      </c>
      <c r="H133" s="70" t="inlineStr">
        <is>
          <t>Covered</t>
        </is>
      </c>
    </row>
    <row r="134">
      <c r="A134" s="70" t="inlineStr">
        <is>
          <t>CRM-CM-2</t>
        </is>
      </c>
      <c r="B134" s="70" t="inlineStr">
        <is>
          <t>CRM</t>
        </is>
      </c>
      <c r="C134" s="70" t="inlineStr">
        <is>
          <t>LEK_FND_CRM Business Rules &amp; Requirements_v3.docx</t>
        </is>
      </c>
      <c r="D134" s="70" t="inlineStr">
        <is>
          <t>How is the account primary determined during migration?</t>
        </is>
      </c>
      <c r="E134" s="70" t="inlineStr">
        <is>
          <t>The CRM must support a self-selection process to designate the account owner for each PRO account, facilitated through a centralized workflow (e.g., guided online experience).
The CRM must also support manual override and validation workflows to ensure the correct account primary is assigned, with appropriate controls to resolve conflicts or disputes.</t>
        </is>
      </c>
      <c r="F134" s="70" t="inlineStr">
        <is>
          <t>152 (Gap &amp; Edge Cases)</t>
        </is>
      </c>
      <c r="G134" s="70" t="n">
        <v>1</v>
      </c>
      <c r="H134" s="70" t="inlineStr">
        <is>
          <t>Covered</t>
        </is>
      </c>
    </row>
    <row r="135">
      <c r="A135" s="70" t="inlineStr">
        <is>
          <t>CRM-CM-3</t>
        </is>
      </c>
      <c r="B135" s="70" t="inlineStr">
        <is>
          <t>CRM</t>
        </is>
      </c>
      <c r="C135" s="70" t="inlineStr">
        <is>
          <t>LEK_FND_CRM Business Rules &amp; Requirements_v3.docx</t>
        </is>
      </c>
      <c r="D135" s="70" t="inlineStr">
        <is>
          <t>How are delegates assigned during migration?</t>
        </is>
      </c>
      <c r="E135" s="70" t="inlineStr">
        <is>
          <t>The CRM must support a self-selection and confirmation process to assign contact profiles to a PRO account and designate their roles (account owner or delegate).
Assignment of delegates must be facilitated through a centralized workflow (e.g., guided online experience), allowing the account primary to confirm which individuals should be associated with the account and in what role.
The Customer Care team will serve as a personal outlet for account information management.</t>
        </is>
      </c>
      <c r="F135" s="70" t="inlineStr">
        <is>
          <t>29 (Use Cases)</t>
        </is>
      </c>
      <c r="G135" s="70" t="n">
        <v>1</v>
      </c>
      <c r="H135" s="70" t="inlineStr">
        <is>
          <t>Covered</t>
        </is>
      </c>
    </row>
    <row r="136">
      <c r="A136" s="70" t="inlineStr">
        <is>
          <t>CRM-CM-4</t>
        </is>
      </c>
      <c r="B136" s="70" t="inlineStr">
        <is>
          <t>CRM</t>
        </is>
      </c>
      <c r="C136" s="70" t="inlineStr">
        <is>
          <t>LEK_FND_CRM Business Rules &amp; Requirements_v3.docx</t>
        </is>
      </c>
      <c r="D136" s="70" t="inlineStr">
        <is>
          <t>How are duplicate contacts handled?</t>
        </is>
      </c>
      <c r="E136" s="70" t="inlineStr">
        <is>
          <t>The CRM must identify and merge duplicate contact records to ensure each individual has a single unique user profile.</t>
        </is>
      </c>
      <c r="F136" s="70" t="inlineStr">
        <is>
          <t>149, 156, 211 (Gap &amp; Edge Cases); 32, 33 (Use Cases)</t>
        </is>
      </c>
      <c r="G136" s="70" t="n">
        <v>5</v>
      </c>
      <c r="H136" s="70" t="inlineStr">
        <is>
          <t>Covered</t>
        </is>
      </c>
    </row>
    <row r="137">
      <c r="A137" s="70" t="inlineStr">
        <is>
          <t>CRM-CM-5</t>
        </is>
      </c>
      <c r="B137" s="70" t="inlineStr">
        <is>
          <t>CRM</t>
        </is>
      </c>
      <c r="C137" s="70" t="inlineStr">
        <is>
          <t>LEK_FND_CRM Business Rules &amp; Requirements_v3.docx</t>
        </is>
      </c>
      <c r="D137" s="70" t="inlineStr">
        <is>
          <t>What happens if a contact cannot be clearly mapped to an account?</t>
        </is>
      </c>
      <c r="E137" s="70" t="inlineStr">
        <is>
          <t>The CRM must flag unmapped contact profiles and route them to a self-directed onboarding or assignment process, where the individual can either create a new PRO account or be associated with an existing account through confirmation by the account owner.</t>
        </is>
      </c>
      <c r="F137" s="70" t="inlineStr">
        <is>
          <t>210 (Gap &amp; Edge Cases)</t>
        </is>
      </c>
      <c r="G137" s="70" t="n">
        <v>1</v>
      </c>
      <c r="H137" s="70" t="inlineStr">
        <is>
          <t>Covered</t>
        </is>
      </c>
    </row>
    <row r="138">
      <c r="A138" s="70" t="inlineStr">
        <is>
          <t>CRM-CM-6</t>
        </is>
      </c>
      <c r="B138" s="70" t="inlineStr">
        <is>
          <t>CRM</t>
        </is>
      </c>
      <c r="C138" s="70" t="inlineStr">
        <is>
          <t>LEK_FND_CRM Business Rules &amp; Requirements_v3.docx</t>
        </is>
      </c>
      <c r="D138" s="70" t="inlineStr">
        <is>
          <t>Can contacts be linked to multiple accounts post-migration?</t>
        </is>
      </c>
      <c r="E138" s="70" t="inlineStr">
        <is>
          <t>The CRM must support linking a single user profile to multiple PRO accounts, with each relationship storing its own role (account primary or delegate) and associated permissions.</t>
        </is>
      </c>
      <c r="F138" s="70" t="inlineStr">
        <is>
          <t>147 (Gap &amp; Edge Cases)</t>
        </is>
      </c>
      <c r="G138" s="70" t="n">
        <v>1</v>
      </c>
      <c r="H138" s="70" t="inlineStr">
        <is>
          <t>Covered</t>
        </is>
      </c>
    </row>
    <row r="139">
      <c r="A139" s="70" t="inlineStr">
        <is>
          <t>CRM-CM-7</t>
        </is>
      </c>
      <c r="B139" s="70" t="inlineStr">
        <is>
          <t>CRM</t>
        </is>
      </c>
      <c r="C139" s="70" t="inlineStr">
        <is>
          <t>LEK_FND_CRM Business Rules &amp; Requirements_v3.docx</t>
        </is>
      </c>
      <c r="D139" s="70" t="inlineStr">
        <is>
          <t>How is mapping validated?</t>
        </is>
      </c>
      <c r="E139" s="70" t="inlineStr">
        <is>
          <t>The CRM must provide validation checks to ensure all users are assigned to accounts and no orphaned records remain.</t>
        </is>
      </c>
      <c r="F139" s="70" t="inlineStr">
        <is>
          <t>152 (Gap &amp; Edge Cases)</t>
        </is>
      </c>
      <c r="G139" s="70" t="n">
        <v>1</v>
      </c>
      <c r="H139" s="70" t="inlineStr">
        <is>
          <t>Covered</t>
        </is>
      </c>
    </row>
    <row r="140">
      <c r="A140" s="70" t="inlineStr">
        <is>
          <t>CRM-CM-8</t>
        </is>
      </c>
      <c r="B140" s="70" t="inlineStr">
        <is>
          <t>CRM</t>
        </is>
      </c>
      <c r="C140" s="70" t="inlineStr">
        <is>
          <t>LEK_FND_CRM Business Rules &amp; Requirements_v3.docx</t>
        </is>
      </c>
      <c r="D140" s="70" t="inlineStr">
        <is>
          <t>How are new PRO accounts created?</t>
        </is>
      </c>
      <c r="E140" s="70" t="inlineStr">
        <is>
          <t>The CRM must allow creation of new PRO accounts with required fields (account owner, business details) and optional delegate assignment at onboarding.</t>
        </is>
      </c>
      <c r="F140" s="70" t="inlineStr">
        <is>
          <t>6 (Use Cases)</t>
        </is>
      </c>
      <c r="G140" s="70" t="n">
        <v>1</v>
      </c>
      <c r="H140" s="70" t="inlineStr">
        <is>
          <t>Covered</t>
        </is>
      </c>
    </row>
    <row r="141">
      <c r="A141" s="70" t="inlineStr">
        <is>
          <t>CRM-CM-9</t>
        </is>
      </c>
      <c r="B141" s="70" t="inlineStr">
        <is>
          <t>CRM</t>
        </is>
      </c>
      <c r="C141" s="70" t="inlineStr">
        <is>
          <t>LEK_FND_CRM Business Rules &amp; Requirements_v3.docx</t>
        </is>
      </c>
      <c r="D141" s="70" t="inlineStr">
        <is>
          <t>How are accounts linked to POS transactions?</t>
        </is>
      </c>
      <c r="E141" s="70" t="inlineStr">
        <is>
          <t>The POS system must use the CRM account ID to associate transactions to the correct PRO account at the time of purchase.</t>
        </is>
      </c>
      <c r="F141" s="70" t="inlineStr">
        <is>
          <t>100 (Use Cases)</t>
        </is>
      </c>
      <c r="G141" s="70" t="n">
        <v>1</v>
      </c>
      <c r="H141" s="70" t="inlineStr">
        <is>
          <t>Covered</t>
        </is>
      </c>
    </row>
    <row r="142">
      <c r="A142" s="70" t="inlineStr">
        <is>
          <t>CRM-CM-10</t>
        </is>
      </c>
      <c r="B142" s="70" t="inlineStr">
        <is>
          <t>CRM</t>
        </is>
      </c>
      <c r="C142" s="70" t="inlineStr">
        <is>
          <t>LEK_FND_CRM Business Rules &amp; Requirements_v3.docx</t>
        </is>
      </c>
      <c r="D142" s="70" t="inlineStr">
        <is>
          <t>What happens if a transaction is linked to the wrong account?</t>
        </is>
      </c>
      <c r="E142" s="70" t="inlineStr">
        <is>
          <t>The system must define whether post-transaction reassignment is allowed and how corrections are handled (manual vs system process).</t>
        </is>
      </c>
      <c r="F142" s="70" t="inlineStr">
        <is>
          <t>188 (Gap &amp; Edge Cases); 5 (Use Cases)</t>
        </is>
      </c>
      <c r="G142" s="70" t="n">
        <v>2</v>
      </c>
      <c r="H142" s="70" t="inlineStr">
        <is>
          <t>Covered</t>
        </is>
      </c>
    </row>
    <row r="143">
      <c r="A143" s="70" t="inlineStr">
        <is>
          <t>CRM-DF-1</t>
        </is>
      </c>
      <c r="B143" s="70" t="inlineStr">
        <is>
          <t>CRM</t>
        </is>
      </c>
      <c r="C143" s="70" t="inlineStr">
        <is>
          <t>LEK_FND_CRM Business Rules &amp; Requirements_v3.docx</t>
        </is>
      </c>
      <c r="D143" s="70" t="inlineStr">
        <is>
          <t>What new data fields are required at the account level?</t>
        </is>
      </c>
      <c r="E143" s="70" t="inlineStr">
        <is>
          <t>Fields needed for each account are included in the CRM data fields excel file, which includes priority for inclusion</t>
        </is>
      </c>
      <c r="F143" s="70" t="inlineStr">
        <is>
          <t>157 (Gap &amp; Edge Cases)</t>
        </is>
      </c>
      <c r="G143" s="70" t="n">
        <v>1</v>
      </c>
      <c r="H143" s="70" t="inlineStr">
        <is>
          <t>Covered</t>
        </is>
      </c>
    </row>
    <row r="144">
      <c r="A144" s="70" t="inlineStr">
        <is>
          <t>CRM-DF-2</t>
        </is>
      </c>
      <c r="B144" s="70" t="inlineStr">
        <is>
          <t>CRM</t>
        </is>
      </c>
      <c r="C144" s="70" t="inlineStr">
        <is>
          <t>LEK_FND_CRM Business Rules &amp; Requirements_v3.docx</t>
        </is>
      </c>
      <c r="D144" s="70" t="inlineStr">
        <is>
          <t>How and when will the new required account level data fields be filled?</t>
        </is>
      </c>
      <c r="E144" s="70" t="inlineStr">
        <is>
          <t>At account creation, core fields (e.g., business name, account owner, contact details, PRO type, home store) must be captured through onboarding workflows in the PRO app, even if guided by associates. 
Account structure fields (e.g., initial delegate relationships, national account affiliation) must be established during onboarding and updated as relationships change.
Dynamic fields (e.g., YTD spend, tier status, rewards earned, delivery usage) must be automatically populated and updated through integrations with POS, loyalty engine, and delivery systems based on transaction activity.</t>
        </is>
      </c>
      <c r="F144" s="70" t="inlineStr">
        <is>
          <t>149, 151, 189 (Gap &amp; Edge Cases)</t>
        </is>
      </c>
      <c r="G144" s="70" t="n">
        <v>3</v>
      </c>
      <c r="H144" s="70" t="inlineStr">
        <is>
          <t>Covered</t>
        </is>
      </c>
    </row>
    <row r="145">
      <c r="A145" s="70" t="inlineStr">
        <is>
          <t>CRM-DF-3</t>
        </is>
      </c>
      <c r="B145" s="70" t="inlineStr">
        <is>
          <t>CRM</t>
        </is>
      </c>
      <c r="C145" s="70" t="inlineStr">
        <is>
          <t>LEK_FND_CRM Business Rules &amp; Requirements_v3.docx</t>
        </is>
      </c>
      <c r="D145" s="70" t="inlineStr">
        <is>
          <t>What data fields are required at the delegate level?</t>
        </is>
      </c>
      <c r="E145" s="70" t="inlineStr">
        <is>
          <t>The CRM must capture individual-level data for contact profiles, including:
Contact ID
Associated account IDs
Role for each account (account owner or delegate)
Relationship start date (per account)
Relationship status (active / inactive per account)
Linked transaction history
Last transaction date
Transaction count
Attributed spend (per account)
The system must support contact profiles being associated with multiple accounts with different roles.
The CRM must capture individual-level data for delegates such as:
Delegate ID 
Associated account IDs
Role (for each associated account)
Delegate start date (for each associated account)
Delegate status (active / inactive for each associated account)
Linked transaction history
Last transaction date
Transaction count 
Attributed spend (for each associated account)
To discuss what other fields are necessary at delegate profile level and if any data access restrictions for privacy / compliance exist</t>
        </is>
      </c>
      <c r="F145" s="70" t="inlineStr">
        <is>
          <t>29 (Use Cases)</t>
        </is>
      </c>
      <c r="G145" s="70" t="n">
        <v>1</v>
      </c>
      <c r="H145" s="70" t="inlineStr">
        <is>
          <t>Covered</t>
        </is>
      </c>
    </row>
    <row r="146">
      <c r="A146" s="70" t="inlineStr">
        <is>
          <t>CRM-DF-4</t>
        </is>
      </c>
      <c r="B146" s="70" t="inlineStr">
        <is>
          <t>CRM</t>
        </is>
      </c>
      <c r="C146" s="70" t="inlineStr">
        <is>
          <t>LEK_FND_CRM Business Rules &amp; Requirements_v3.docx</t>
        </is>
      </c>
      <c r="D146" s="70" t="inlineStr">
        <is>
          <t>How and when will the new required delegate level data fields be filled?</t>
        </is>
      </c>
      <c r="E146" s="70" t="inlineStr">
        <is>
          <t>Required contact-level data fields must be captured upon initial creation of a contact profile. When a contact is associated with additional PRO accounts, existing personal data must be reused, with only relationship-specific fields (e.g., role, status) created per account.</t>
        </is>
      </c>
      <c r="F146" s="70" t="inlineStr">
        <is>
          <t>29 (Use Cases)</t>
        </is>
      </c>
      <c r="G146" s="70" t="n">
        <v>1</v>
      </c>
      <c r="H146" s="70" t="inlineStr">
        <is>
          <t>Covered</t>
        </is>
      </c>
    </row>
    <row r="147">
      <c r="A147" s="70" t="inlineStr">
        <is>
          <t>CRM-DF-5</t>
        </is>
      </c>
      <c r="B147" s="70" t="inlineStr">
        <is>
          <t>CRM</t>
        </is>
      </c>
      <c r="C147" s="70" t="inlineStr">
        <is>
          <t>LEK_FND_CRM Business Rules &amp; Requirements_v3.docx</t>
        </is>
      </c>
      <c r="D147" s="70" t="inlineStr">
        <is>
          <t>What data fields are required to support transaction attribution?</t>
        </is>
      </c>
      <c r="E147" s="70" t="inlineStr">
        <is>
          <t>The POS and CRM must share a unique account ID and user identifier to ensure transactions are attributed correctly.
At checkout, QR code, phone number, user email, account / business name, and account ID will all be viable methods for identifying an earning account and transacting user.</t>
        </is>
      </c>
      <c r="F147" s="70" t="inlineStr">
        <is>
          <t>100 (Use Cases)</t>
        </is>
      </c>
      <c r="G147" s="70" t="n">
        <v>1</v>
      </c>
      <c r="H147" s="70" t="inlineStr">
        <is>
          <t>Covered</t>
        </is>
      </c>
    </row>
    <row r="148">
      <c r="A148" s="70" t="inlineStr">
        <is>
          <t>CRM-DF-6</t>
        </is>
      </c>
      <c r="B148" s="70" t="inlineStr">
        <is>
          <t>CRM</t>
        </is>
      </c>
      <c r="C148" s="70" t="inlineStr">
        <is>
          <t>LEK_FND_CRM Business Rules &amp; Requirements_v3.docx</t>
        </is>
      </c>
      <c r="D148" s="70" t="inlineStr">
        <is>
          <t>How is account hierarchy stored?</t>
        </is>
      </c>
      <c r="E148" s="70" t="inlineStr">
        <is>
          <t>The CRM must store relationships between account profiles and contact profiles in a structured, searchable format, with role assignments (account owner or delegate) defined at the relationship level.</t>
        </is>
      </c>
      <c r="F148" s="70" t="inlineStr">
        <is>
          <t>73 (Use Cases)</t>
        </is>
      </c>
      <c r="G148" s="70" t="n">
        <v>1</v>
      </c>
      <c r="H148" s="70" t="inlineStr">
        <is>
          <t>Covered</t>
        </is>
      </c>
    </row>
    <row r="149">
      <c r="A149" s="70" t="inlineStr">
        <is>
          <t>CRM-DF-7</t>
        </is>
      </c>
      <c r="B149" s="70" t="inlineStr">
        <is>
          <t>CRM</t>
        </is>
      </c>
      <c r="C149" s="70" t="inlineStr">
        <is>
          <t>LEK_FND_CRM Business Rules &amp; Requirements_v3.docx</t>
        </is>
      </c>
      <c r="D149" s="70" t="inlineStr">
        <is>
          <t>How is data shared with downstream systems?</t>
        </is>
      </c>
      <c r="E149" s="70" t="inlineStr">
        <is>
          <t>The CRM must provide account and user data to the POS, app, and loyalty engine via integrations or APIs to ensure consistent account identification.</t>
        </is>
      </c>
      <c r="F149" s="70" t="inlineStr">
        <is>
          <t>73 (Use Cases)</t>
        </is>
      </c>
      <c r="G149" s="70" t="n">
        <v>1</v>
      </c>
      <c r="H149" s="70" t="inlineStr">
        <is>
          <t>Covered</t>
        </is>
      </c>
    </row>
    <row r="150">
      <c r="A150" s="70" t="inlineStr">
        <is>
          <t>CRM-DF-8</t>
        </is>
      </c>
      <c r="B150" s="70" t="inlineStr">
        <is>
          <t>CRM</t>
        </is>
      </c>
      <c r="C150" s="70" t="inlineStr">
        <is>
          <t>LEK_FND_CRM Business Rules &amp; Requirements_v3.docx</t>
        </is>
      </c>
      <c r="D150" s="70" t="inlineStr">
        <is>
          <t>How frequently is CRM data synced with other systems?</t>
        </is>
      </c>
      <c r="E150" s="70" t="inlineStr">
        <is>
          <t>The system must define sync frequency (real-time vs batch) between CRM, POS, app, and loyalty engine.</t>
        </is>
      </c>
      <c r="F150" s="70" t="inlineStr">
        <is>
          <t>73 (Use Cases)</t>
        </is>
      </c>
      <c r="G150" s="70" t="n">
        <v>1</v>
      </c>
      <c r="H150" s="70" t="inlineStr">
        <is>
          <t>Covered</t>
        </is>
      </c>
    </row>
    <row r="151">
      <c r="A151" s="70" t="inlineStr">
        <is>
          <t>CRM-DF-9</t>
        </is>
      </c>
      <c r="B151" s="70" t="inlineStr">
        <is>
          <t>CRM</t>
        </is>
      </c>
      <c r="C151" s="70" t="inlineStr">
        <is>
          <t>LEK_FND_CRM Business Rules &amp; Requirements_v3.docx</t>
        </is>
      </c>
      <c r="D151" s="70" t="inlineStr">
        <is>
          <t>How is data quality maintained?</t>
        </is>
      </c>
      <c r="E151" s="70" t="inlineStr">
        <is>
          <t>The CRM must include validation rules (required fields, formatting, duplicate detection) to ensure accurate and complete account and delegate data.</t>
        </is>
      </c>
      <c r="F151" s="70" t="inlineStr">
        <is>
          <t>149, 189 (Gap &amp; Edge Cases)</t>
        </is>
      </c>
      <c r="G151" s="70" t="n">
        <v>2</v>
      </c>
      <c r="H151" s="70" t="inlineStr">
        <is>
          <t>Covered</t>
        </is>
      </c>
    </row>
    <row r="152">
      <c r="A152" s="70" t="inlineStr">
        <is>
          <t>CRM-DF-10</t>
        </is>
      </c>
      <c r="B152" s="70" t="inlineStr">
        <is>
          <t>CRM</t>
        </is>
      </c>
      <c r="C152" s="70" t="inlineStr">
        <is>
          <t>LEK_FND_CRM Business Rules &amp; Requirements_v3.docx</t>
        </is>
      </c>
      <c r="D152" s="70" t="inlineStr">
        <is>
          <t>How are updates to account or delegate information handled?</t>
        </is>
      </c>
      <c r="E152" s="70" t="inlineStr">
        <is>
          <t>The CRM must allow updates to account and delegate records, with changes propagated to downstream systems to maintain consistency.</t>
        </is>
      </c>
      <c r="F152" s="70" t="inlineStr">
        <is>
          <t>150 (Gap &amp; Edge Cases)</t>
        </is>
      </c>
      <c r="G152" s="70" t="n">
        <v>1</v>
      </c>
      <c r="H152" s="70" t="inlineStr">
        <is>
          <t>Covered</t>
        </is>
      </c>
    </row>
    <row r="153">
      <c r="A153" s="70" t="inlineStr">
        <is>
          <t>CRM-DF-11</t>
        </is>
      </c>
      <c r="B153" s="70" t="inlineStr">
        <is>
          <t>CRM</t>
        </is>
      </c>
      <c r="C153" s="70" t="inlineStr">
        <is>
          <t>LEK_FND_CRM Business Rules &amp; Requirements_v3.docx</t>
        </is>
      </c>
      <c r="D153" s="70" t="inlineStr">
        <is>
          <t>What data is required for reporting and tracking?</t>
        </is>
      </c>
      <c r="E153" s="70" t="inlineStr">
        <is>
          <t>The CRM must capture and maintain fields necessary to support KPI tracking and reporting.
Detailed KPI definitions are defined separately in collaboration with the Finance &amp; Accounting workstream.</t>
        </is>
      </c>
      <c r="F153" s="70" t="inlineStr"/>
      <c r="G153" s="70" t="n">
        <v>0</v>
      </c>
      <c r="H153" s="70" t="inlineStr">
        <is>
          <t>Unaddressed — no use case maps to this requirement</t>
        </is>
      </c>
    </row>
    <row r="154">
      <c r="A154" s="70" t="inlineStr">
        <is>
          <t>CRM-DF-12</t>
        </is>
      </c>
      <c r="B154" s="70" t="inlineStr">
        <is>
          <t>CRM</t>
        </is>
      </c>
      <c r="C154" s="70" t="inlineStr">
        <is>
          <t>LEK_FND_CRM Business Rules &amp; Requirements_v3.docx</t>
        </is>
      </c>
      <c r="D154" s="70" t="inlineStr">
        <is>
          <t>How are permissions managed for data visibility?</t>
        </is>
      </c>
      <c r="E154" s="70" t="inlineStr">
        <is>
          <t>The CRM and PRO app must enforce role-based visibility based on account-contact relationships, ensuring account owners can view full account data while delegates are restricted to their own transactions and assigned permissions.</t>
        </is>
      </c>
      <c r="F154" s="70" t="inlineStr">
        <is>
          <t>158, 159 (Gap &amp; Edge Cases)</t>
        </is>
      </c>
      <c r="G154" s="70" t="n">
        <v>2</v>
      </c>
      <c r="H154" s="70" t="inlineStr">
        <is>
          <t>Covered</t>
        </is>
      </c>
    </row>
    <row r="155">
      <c r="A155" s="70" t="inlineStr">
        <is>
          <t>CRM-KPI-1</t>
        </is>
      </c>
      <c r="B155" s="70" t="inlineStr">
        <is>
          <t>CRM</t>
        </is>
      </c>
      <c r="C155" s="70" t="inlineStr">
        <is>
          <t>LEK_FND_CRM Business Rules &amp; Requirements_v3.docx</t>
        </is>
      </c>
      <c r="D155" s="70" t="inlineStr">
        <is>
          <t>At what level should KPIs be tracked?</t>
        </is>
      </c>
      <c r="E155" s="70" t="inlineStr">
        <is>
          <t>The CRM (Salesforce) must support KPI tracking at the account level (not contact level), with all transactions, rewards, and engagement metrics aggregated to the PRO account.
To discuss which KPIs must be visible to Store associates</t>
        </is>
      </c>
      <c r="F155" s="70" t="inlineStr">
        <is>
          <t>72 (Use Cases)</t>
        </is>
      </c>
      <c r="G155" s="70" t="n">
        <v>1</v>
      </c>
      <c r="H155" s="70" t="inlineStr">
        <is>
          <t>Covered</t>
        </is>
      </c>
    </row>
    <row r="156">
      <c r="A156" s="70" t="inlineStr">
        <is>
          <t>CRM-KPI-2</t>
        </is>
      </c>
      <c r="B156" s="70" t="inlineStr">
        <is>
          <t>CRM</t>
        </is>
      </c>
      <c r="C156" s="70" t="inlineStr">
        <is>
          <t>LEK_FND_CRM Business Rules &amp; Requirements_v3.docx</t>
        </is>
      </c>
      <c r="D156" s="70" t="inlineStr">
        <is>
          <t>What systems provide KPI data?</t>
        </is>
      </c>
      <c r="E156" s="70" t="inlineStr">
        <is>
          <t>The CRM must integrate with POS, loyalty engine, app, and Oracle (finance) to ingest and consolidate data required for KPI calculation, with each system acting as a source of record for its respective data domain.</t>
        </is>
      </c>
      <c r="F156" s="70" t="inlineStr">
        <is>
          <t>215 (Gap &amp; Edge Cases); 72 (Use Cases)</t>
        </is>
      </c>
      <c r="G156" s="70" t="n">
        <v>2</v>
      </c>
      <c r="H156" s="70" t="inlineStr">
        <is>
          <t>Covered</t>
        </is>
      </c>
    </row>
    <row r="157">
      <c r="A157" s="70" t="inlineStr">
        <is>
          <t>CRM-KPI-3</t>
        </is>
      </c>
      <c r="B157" s="70" t="inlineStr">
        <is>
          <t>CRM</t>
        </is>
      </c>
      <c r="C157" s="70" t="inlineStr">
        <is>
          <t>LEK_FND_CRM Business Rules &amp; Requirements_v3.docx</t>
        </is>
      </c>
      <c r="D157" s="70" t="inlineStr">
        <is>
          <t>Where are KPIs calculated?</t>
        </is>
      </c>
      <c r="E157" s="70" t="inlineStr">
        <is>
          <t>The CRM and / or reporting layer (e.g., BI tool) must calculate KPIs using data from source systems, ensuring consistent logic across reporting outputs.</t>
        </is>
      </c>
      <c r="F157" s="70" t="inlineStr">
        <is>
          <t>72 (Use Cases)</t>
        </is>
      </c>
      <c r="G157" s="70" t="n">
        <v>1</v>
      </c>
      <c r="H157" s="70" t="inlineStr">
        <is>
          <t>Covered</t>
        </is>
      </c>
    </row>
    <row r="158">
      <c r="A158" s="70" t="inlineStr">
        <is>
          <t>CRM-KPI-4</t>
        </is>
      </c>
      <c r="B158" s="70" t="inlineStr">
        <is>
          <t>CRM</t>
        </is>
      </c>
      <c r="C158" s="70" t="inlineStr">
        <is>
          <t>LEK_FND_CRM Business Rules &amp; Requirements_v3.docx</t>
        </is>
      </c>
      <c r="D158" s="70" t="inlineStr">
        <is>
          <t>How are KPIs linked to account structure?</t>
        </is>
      </c>
      <c r="E158" s="70" t="inlineStr">
        <is>
          <t>The CRM must ensure that all KPI calculations reference the correct PRO account ID, with all contact-level activity rolled up to the account while maintaining visibility into the originating contact profile.</t>
        </is>
      </c>
      <c r="F158" s="70" t="inlineStr">
        <is>
          <t>72 (Use Cases)</t>
        </is>
      </c>
      <c r="G158" s="70" t="n">
        <v>1</v>
      </c>
      <c r="H158" s="70" t="inlineStr">
        <is>
          <t>Covered</t>
        </is>
      </c>
    </row>
    <row r="159">
      <c r="A159" s="70" t="inlineStr">
        <is>
          <t>CRM-KPI-5</t>
        </is>
      </c>
      <c r="B159" s="70" t="inlineStr">
        <is>
          <t>CRM</t>
        </is>
      </c>
      <c r="C159" s="70" t="inlineStr">
        <is>
          <t>LEK_FND_CRM Business Rules &amp; Requirements_v3.docx</t>
        </is>
      </c>
      <c r="D159" s="70" t="inlineStr">
        <is>
          <t>What types of KPIs must be supported?</t>
        </is>
      </c>
      <c r="E159" s="70" t="inlineStr">
        <is>
          <t>The CRM / reporting layer must support KPIs across key categories including: spend, engagement, reward accrual/redemption, delivery usage, and account growth. 
Detailed KPI definitions are maintained separately</t>
        </is>
      </c>
      <c r="F159" s="70" t="inlineStr">
        <is>
          <t>72 (Use Cases)</t>
        </is>
      </c>
      <c r="G159" s="70" t="n">
        <v>1</v>
      </c>
      <c r="H159" s="70" t="inlineStr">
        <is>
          <t>Covered</t>
        </is>
      </c>
    </row>
    <row r="160">
      <c r="A160" s="70" t="inlineStr">
        <is>
          <t>CRM-KPI-6</t>
        </is>
      </c>
      <c r="B160" s="70" t="inlineStr">
        <is>
          <t>CRM</t>
        </is>
      </c>
      <c r="C160" s="70" t="inlineStr">
        <is>
          <t>LEK_FND_CRM Business Rules &amp; Requirements_v3.docx</t>
        </is>
      </c>
      <c r="D160" s="70" t="inlineStr">
        <is>
          <t>How frequently must KPIs be updated?</t>
        </is>
      </c>
      <c r="E160" s="70" t="inlineStr">
        <is>
          <t>The system must support multiple refresh cadences, including near real-time (where available), daily, weekly, and monthly updates, depending on the KPI and data source. 
 Exact refresh timing by KPI must be defined.</t>
        </is>
      </c>
      <c r="F160" s="70" t="inlineStr">
        <is>
          <t>215 (Gap &amp; Edge Cases)</t>
        </is>
      </c>
      <c r="G160" s="70" t="n">
        <v>1</v>
      </c>
      <c r="H160" s="70" t="inlineStr">
        <is>
          <t>Covered</t>
        </is>
      </c>
    </row>
    <row r="161">
      <c r="A161" s="70" t="inlineStr">
        <is>
          <t>CRM-KPI-7</t>
        </is>
      </c>
      <c r="B161" s="70" t="inlineStr">
        <is>
          <t>CRM</t>
        </is>
      </c>
      <c r="C161" s="70" t="inlineStr">
        <is>
          <t>LEK_FND_CRM Business Rules &amp; Requirements_v3.docx</t>
        </is>
      </c>
      <c r="D161" s="70" t="inlineStr">
        <is>
          <t>How are KPIs surfaced to users?</t>
        </is>
      </c>
      <c r="E161" s="70" t="inlineStr">
        <is>
          <t>The CRM / reporting layer must provide dashboards and reports that present KPI data at the account level, with views tailored for different audiences (e.g., store teams, leadership, finance).</t>
        </is>
      </c>
      <c r="F161" s="70" t="inlineStr">
        <is>
          <t>216, 218, 219, 220 (Gap &amp; Edge Cases); 72 (Use Cases)</t>
        </is>
      </c>
      <c r="G161" s="70" t="n">
        <v>5</v>
      </c>
      <c r="H161" s="70" t="inlineStr">
        <is>
          <t>Covered</t>
        </is>
      </c>
    </row>
    <row r="162">
      <c r="A162" s="70" t="inlineStr">
        <is>
          <t>CRM-KPI-8</t>
        </is>
      </c>
      <c r="B162" s="70" t="inlineStr">
        <is>
          <t>CRM</t>
        </is>
      </c>
      <c r="C162" s="70" t="inlineStr">
        <is>
          <t>LEK_FND_CRM Business Rules &amp; Requirements_v3.docx</t>
        </is>
      </c>
      <c r="D162" s="70" t="inlineStr">
        <is>
          <t>How is reporting cadence defined?</t>
        </is>
      </c>
      <c r="E162" s="70" t="inlineStr">
        <is>
          <t>The system must support reporting outputs aligned to defined cadences, including daily/weekly operational visibility and monthly/quarterly performance reporting, as outlined in the reporting framework.</t>
        </is>
      </c>
      <c r="F162" s="70" t="inlineStr">
        <is>
          <t>219, 220 (Gap &amp; Edge Cases); 72 (Use Cases)</t>
        </is>
      </c>
      <c r="G162" s="70" t="n">
        <v>3</v>
      </c>
      <c r="H162" s="70" t="inlineStr">
        <is>
          <t>Covered</t>
        </is>
      </c>
    </row>
    <row r="163">
      <c r="A163" s="70" t="inlineStr">
        <is>
          <t>CRM-KPI-9</t>
        </is>
      </c>
      <c r="B163" s="70" t="inlineStr">
        <is>
          <t>CRM</t>
        </is>
      </c>
      <c r="C163" s="70" t="inlineStr">
        <is>
          <t>LEK_FND_CRM Business Rules &amp; Requirements_v3.docx</t>
        </is>
      </c>
      <c r="D163" s="70" t="inlineStr">
        <is>
          <t>Can KPI data be audited and traced back to source?</t>
        </is>
      </c>
      <c r="E163" s="70" t="inlineStr">
        <is>
          <t>The CRM / reporting layer must support drill-down from KPI metrics to underlying transaction-level data, enabling validation and troubleshooting.</t>
        </is>
      </c>
      <c r="F163" s="70" t="inlineStr">
        <is>
          <t>47, 48 (Use Cases)</t>
        </is>
      </c>
      <c r="G163" s="70" t="n">
        <v>2</v>
      </c>
      <c r="H163" s="70" t="inlineStr">
        <is>
          <t>Covered</t>
        </is>
      </c>
    </row>
    <row r="164">
      <c r="A164" s="70" t="inlineStr">
        <is>
          <t>CRM-KPI-10</t>
        </is>
      </c>
      <c r="B164" s="70" t="inlineStr">
        <is>
          <t>CRM</t>
        </is>
      </c>
      <c r="C164" s="70" t="inlineStr">
        <is>
          <t>LEK_FND_CRM Business Rules &amp; Requirements_v3.docx</t>
        </is>
      </c>
      <c r="D164" s="70" t="inlineStr">
        <is>
          <t>How are KPI changes managed over time?</t>
        </is>
      </c>
      <c r="E164" s="70" t="inlineStr">
        <is>
          <t>The system must define a process for updating KPI definitions and ensuring changes are version-controlled and consistently applied across reporting.</t>
        </is>
      </c>
      <c r="F164" s="70" t="inlineStr"/>
      <c r="G164" s="70" t="n">
        <v>0</v>
      </c>
      <c r="H164" s="70" t="inlineStr">
        <is>
          <t>Unaddressed — no use case maps to this requirement</t>
        </is>
      </c>
    </row>
    <row r="165">
      <c r="A165" s="70" t="inlineStr">
        <is>
          <t>CRM-KPI-11</t>
        </is>
      </c>
      <c r="B165" s="70" t="inlineStr">
        <is>
          <t>CRM</t>
        </is>
      </c>
      <c r="C165" s="70" t="inlineStr">
        <is>
          <t>LEK_FND_CRM Business Rules &amp; Requirements_v3.docx</t>
        </is>
      </c>
      <c r="D165" s="70" t="inlineStr">
        <is>
          <t>How are account-level KPIs used to assess program success?</t>
        </is>
      </c>
      <c r="E165" s="70" t="inlineStr">
        <is>
          <t>The CRM / reporting layer must enable tracking of KPI trends over time at the account level to assess performance of the loyalty program and support decision-making.</t>
        </is>
      </c>
      <c r="F165" s="70" t="inlineStr">
        <is>
          <t>72 (Use Cases)</t>
        </is>
      </c>
      <c r="G165" s="70" t="n">
        <v>1</v>
      </c>
      <c r="H165" s="70" t="inlineStr">
        <is>
          <t>Covered</t>
        </is>
      </c>
    </row>
    <row r="166">
      <c r="A166" s="70" t="inlineStr">
        <is>
          <t>FA-ACT-1</t>
        </is>
      </c>
      <c r="B166" s="70" t="inlineStr">
        <is>
          <t>Finance &amp; Accounting</t>
        </is>
      </c>
      <c r="C166" s="70" t="inlineStr">
        <is>
          <t>LEK_FND_Finance and Accounting Business Rules &amp; Requirements_v2.docx</t>
        </is>
      </c>
      <c r="D166" s="70" t="inlineStr">
        <is>
          <t>What is the accounting treatment for outstanding PPR points at the time of cutover to the new program?</t>
        </is>
      </c>
      <c r="E166" s="70" t="inlineStr">
        <is>
          <t>Under the current assumption that F&amp;D plans to extend liability into the future beyond the start of the new program, Accounting must be able to continue monitoring PPR liability in the accounting systems currently utilized today alongside the new loyalty engine. Finance will need to execute a one-time transition accounting treatment in the core loyalty transition that resolves the legacy PPR liability when the time for redeeming points officially ends, if outstanding points exist. The PPR redemption window will extend beyond the launch of the new loyalty program, and as such, liability needs to be tracked as it is currently during that time.
Both old and new liabilities will exist as a contract liability for external reporting purposes.</t>
        </is>
      </c>
      <c r="F166" s="70" t="inlineStr">
        <is>
          <t>224 (Gap &amp; Edge Cases)</t>
        </is>
      </c>
      <c r="G166" s="70" t="n">
        <v>1</v>
      </c>
      <c r="H166" s="70" t="inlineStr">
        <is>
          <t>Covered</t>
        </is>
      </c>
    </row>
    <row r="167">
      <c r="A167" s="70" t="inlineStr">
        <is>
          <t>FA-ACT-2</t>
        </is>
      </c>
      <c r="B167" s="70" t="inlineStr">
        <is>
          <t>Finance &amp; Accounting</t>
        </is>
      </c>
      <c r="C167" s="70" t="inlineStr">
        <is>
          <t>LEK_FND_Finance and Accounting Business Rules &amp; Requirements_v2.docx</t>
        </is>
      </c>
      <c r="D167" s="70" t="inlineStr">
        <is>
          <t>How should seeded members and any transition benefits tied to prior PPR participation be accounted for?</t>
        </is>
      </c>
      <c r="E167" s="70" t="inlineStr">
        <is>
          <t>Upon seeding, PROs will not receive lump sum benefits (e.g., a large gift card trade in for points), and will accrue new program benefits as normal. Supporting ERP and CRM systems must be able to flag seeded members in the proper tier so they can automatically accrue tier benefits / liabilities at the proper amounts for accounting, reconciliation, and audit purposes.</t>
        </is>
      </c>
      <c r="F167" s="70" t="inlineStr">
        <is>
          <t>214 (Gap &amp; Edge Cases)</t>
        </is>
      </c>
      <c r="G167" s="70" t="n">
        <v>1</v>
      </c>
      <c r="H167" s="70" t="inlineStr">
        <is>
          <t>Covered</t>
        </is>
      </c>
    </row>
    <row r="168">
      <c r="A168" s="70" t="inlineStr">
        <is>
          <t>FA-ACT-3</t>
        </is>
      </c>
      <c r="B168" s="70" t="inlineStr">
        <is>
          <t>Finance &amp; Accounting</t>
        </is>
      </c>
      <c r="C168" s="70" t="inlineStr">
        <is>
          <t>LEK_FND_Finance and Accounting Business Rules &amp; Requirements_v2.docx</t>
        </is>
      </c>
      <c r="D168" s="70" t="inlineStr">
        <is>
          <t>How should inactive, expired, ineligible, or otherwise non-transferring PPR balances be treated at transition to new program?</t>
        </is>
      </c>
      <c r="E168" s="70" t="inlineStr">
        <is>
          <t>PPR balance wind-down will follow a gradual transition approach with a specific date TBD (likely early 2027) on which PPR earning closes and a separate redemption wind-down period that extends past new program launch.  
Upon reaching the expiration tier, the PRO team will be required to cancel the points as is current procedure for expiring accounts.</t>
        </is>
      </c>
      <c r="F168" s="70" t="inlineStr">
        <is>
          <t>224, 225 (Gap &amp; Edge Cases)</t>
        </is>
      </c>
      <c r="G168" s="70" t="n">
        <v>2</v>
      </c>
      <c r="H168" s="70" t="inlineStr">
        <is>
          <t>Covered</t>
        </is>
      </c>
    </row>
    <row r="169">
      <c r="A169" s="70" t="inlineStr">
        <is>
          <t>FA-ACT-4</t>
        </is>
      </c>
      <c r="B169" s="70" t="inlineStr">
        <is>
          <t>Finance &amp; Accounting</t>
        </is>
      </c>
      <c r="C169" s="70" t="inlineStr">
        <is>
          <t>LEK_FND_Finance and Accounting Business Rules &amp; Requirements_v2.docx</t>
        </is>
      </c>
      <c r="D169" s="70" t="inlineStr">
        <is>
          <t>What records must be retained to support auditability of the PPR transition?</t>
        </is>
      </c>
      <c r="E169" s="70" t="inlineStr">
        <is>
          <t>Finance / accounting must retain a complete audit trail of pre-cutover balances, transition logic, seeded member treatment, and final journal entries. Historical data must be retained in CRM / reporting systems for audit and customer service purposes, but will not be surfaced prominently in PRO facing interfaces (app, website etc.) post transition. All existing records must be maintained until the program completely sunsets.</t>
        </is>
      </c>
      <c r="F169" s="70" t="inlineStr">
        <is>
          <t>188, 240 (Gap &amp; Edge Cases); 47, 101, 103 (Use Cases)</t>
        </is>
      </c>
      <c r="G169" s="70" t="n">
        <v>5</v>
      </c>
      <c r="H169" s="70" t="inlineStr">
        <is>
          <t>Covered</t>
        </is>
      </c>
    </row>
    <row r="170">
      <c r="A170" s="70" t="inlineStr">
        <is>
          <t>FA-ACT-5</t>
        </is>
      </c>
      <c r="B170" s="70" t="inlineStr">
        <is>
          <t>Finance &amp; Accounting</t>
        </is>
      </c>
      <c r="C170" s="70" t="inlineStr">
        <is>
          <t>LEK_FND_Finance and Accounting Business Rules &amp; Requirements_v2.docx</t>
        </is>
      </c>
      <c r="D170" s="70" t="inlineStr">
        <is>
          <t>At what point does the new loyalty program create an accounting liability?</t>
        </is>
      </c>
      <c r="E170" s="70" t="inlineStr">
        <is>
          <t>POS and upstream transaction systems must support accounting liability recognition beginning at the point of an eligible PRO transaction. Financial currency will be awarded as delivered sales thresholds are achieved by PROs and creation of liability should immediately follow award. As such, finance &amp; accounting will require access to the loyalty engine to track the dollar value of outstanding award. As PROs progress toward reward thresholds or tier-based benefits, the liability must be continuously updated, and upon conversion into a financial award (e.g., F&amp;D currency issuance or rebate accrual), reclassified into the appropriate liability category. The POS must pass the timing and transaction detail needed for consistent recording in the loyalty engine accounting system.</t>
        </is>
      </c>
      <c r="F170" s="70" t="inlineStr">
        <is>
          <t>212 (Gap &amp; Edge Cases); 70 (Use Cases)</t>
        </is>
      </c>
      <c r="G170" s="70" t="n">
        <v>2</v>
      </c>
      <c r="H170" s="70" t="inlineStr">
        <is>
          <t>Covered</t>
        </is>
      </c>
    </row>
    <row r="171">
      <c r="A171" s="70" t="inlineStr">
        <is>
          <t>FA-ACT-6</t>
        </is>
      </c>
      <c r="B171" s="70" t="inlineStr">
        <is>
          <t>Finance &amp; Accounting</t>
        </is>
      </c>
      <c r="C171" s="70" t="inlineStr">
        <is>
          <t>LEK_FND_Finance and Accounting Business Rules &amp; Requirements_v2.docx</t>
        </is>
      </c>
      <c r="D171" s="70" t="inlineStr">
        <is>
          <t>What data must be captured to support future-state loyalty accounting?</t>
        </is>
      </c>
      <c r="E171" s="70" t="inlineStr">
        <is>
          <t>The future-state process must capture transaction ID, PRO account ID, transaction date, eligible spend, reward type, reward value, adjustment amount, status, and relevant event timestamps. These fields must flow from source systems into the loyalty and finance environments to support accrual calculation, reconciliation, and journal entry support.</t>
        </is>
      </c>
      <c r="F171" s="70" t="inlineStr">
        <is>
          <t>226, 240 (Gap &amp; Edge Cases); 59, 70, 71, 101, 103 (Use Cases)</t>
        </is>
      </c>
      <c r="G171" s="70" t="n">
        <v>7</v>
      </c>
      <c r="H171" s="70" t="inlineStr">
        <is>
          <t>Covered</t>
        </is>
      </c>
    </row>
    <row r="172">
      <c r="A172" s="70" t="inlineStr">
        <is>
          <t>FA-ACT-7</t>
        </is>
      </c>
      <c r="B172" s="70" t="inlineStr">
        <is>
          <t>Finance &amp; Accounting</t>
        </is>
      </c>
      <c r="C172" s="70" t="inlineStr">
        <is>
          <t>LEK_FND_Finance and Accounting Business Rules &amp; Requirements_v2.docx</t>
        </is>
      </c>
      <c r="D172" s="70" t="inlineStr">
        <is>
          <t>How should financial awards be accounted for once they are earned and issued?</t>
        </is>
      </c>
      <c r="E172" s="70" t="inlineStr">
        <is>
          <t>Obligations must be tracked by reward type once earned and issue: rebates must be tracked as accrued liabilities upon earning and remain outstanding until the accrual period closes, reconciliations are completed, and payment is issued. Gift cards must be tracked as issued liabilities upon issuance and remain outstanding until redemption, expiration, or other approved disposition.
Systems must maintain visibility into issuance, balance, usage, and remaining obligation.
To discuss detailed accounting treatment for both financial award options</t>
        </is>
      </c>
      <c r="F172" s="70" t="inlineStr">
        <is>
          <t>155, 213, 222 (Gap &amp; Edge Cases); 59, 71 (Use Cases)</t>
        </is>
      </c>
      <c r="G172" s="70" t="n">
        <v>5</v>
      </c>
      <c r="H172" s="70" t="inlineStr">
        <is>
          <t>Covered</t>
        </is>
      </c>
    </row>
    <row r="173">
      <c r="A173" s="70" t="inlineStr">
        <is>
          <t>FA-ACT-8</t>
        </is>
      </c>
      <c r="B173" s="70" t="inlineStr">
        <is>
          <t>Finance &amp; Accounting</t>
        </is>
      </c>
      <c r="C173" s="70" t="inlineStr">
        <is>
          <t>LEK_FND_Finance and Accounting Business Rules &amp; Requirements_v2.docx</t>
        </is>
      </c>
      <c r="D173" s="70" t="inlineStr">
        <is>
          <t>How should breakage and expiration be reflected in accounting for the future-state program?</t>
        </is>
      </c>
      <c r="E173" s="70" t="inlineStr">
        <is>
          <t>Accounting to work with third party actuary to establish breakage methodology, which will dictate requirements for accounting systems to maintain and track assumptions</t>
        </is>
      </c>
      <c r="F173" s="70" t="inlineStr">
        <is>
          <t>215 (Gap &amp; Edge Cases)</t>
        </is>
      </c>
      <c r="G173" s="70" t="n">
        <v>1</v>
      </c>
      <c r="H173" s="70" t="inlineStr">
        <is>
          <t>Covered</t>
        </is>
      </c>
    </row>
    <row r="174">
      <c r="A174" s="70" t="inlineStr">
        <is>
          <t>FA-KPI-1</t>
        </is>
      </c>
      <c r="B174" s="70" t="inlineStr">
        <is>
          <t>Finance &amp; Accounting</t>
        </is>
      </c>
      <c r="C174" s="70" t="inlineStr">
        <is>
          <t>LEK_FND_Finance and Accounting Business Rules &amp; Requirements_v2.docx</t>
        </is>
      </c>
      <c r="D174" s="70" t="inlineStr">
        <is>
          <t>What are the relevant KPIs to report across each function?</t>
        </is>
      </c>
      <c r="E174" s="70" t="inlineStr">
        <is>
          <t>The Loyalty Reporting framework and KPI definitions page must serve as the controlled source for KPI definitions so reporting systems and dashboards calculate metrics consistently across teams. Reporting tools used by Finance &amp; Accounting must be capable of linking data from ERP, POS, CRM, and the loyalty account engine to gather the proper information for these reports.</t>
        </is>
      </c>
      <c r="F174" s="70" t="inlineStr">
        <is>
          <t>70, 72 (Use Cases)</t>
        </is>
      </c>
      <c r="G174" s="70" t="n">
        <v>2</v>
      </c>
      <c r="H174" s="70" t="inlineStr">
        <is>
          <t>Covered</t>
        </is>
      </c>
    </row>
    <row r="175">
      <c r="A175" s="70" t="inlineStr">
        <is>
          <t>FA-KPI-2</t>
        </is>
      </c>
      <c r="B175" s="70" t="inlineStr">
        <is>
          <t>Finance &amp; Accounting</t>
        </is>
      </c>
      <c r="C175" s="70" t="inlineStr">
        <is>
          <t>LEK_FND_Finance and Accounting Business Rules &amp; Requirements_v2.docx</t>
        </is>
      </c>
      <c r="D175" s="70" t="inlineStr">
        <is>
          <t>Which group will own data gathering of each of the key KPI reports?</t>
        </is>
      </c>
      <c r="E175" s="70" t="inlineStr">
        <is>
          <t>Reporting environments and source systems must provide role-appropriate access to KPI inputs for FP&amp;A, Loyalty / CRM, Store Ops, Customer Insights, and Accounting based on the data requirements defined in the Loyalty Reporting framework.</t>
        </is>
      </c>
      <c r="F175" s="70" t="inlineStr">
        <is>
          <t>72 (Use Cases)</t>
        </is>
      </c>
      <c r="G175" s="70" t="n">
        <v>1</v>
      </c>
      <c r="H175" s="70" t="inlineStr">
        <is>
          <t>Covered</t>
        </is>
      </c>
    </row>
    <row r="176">
      <c r="A176" s="70" t="inlineStr">
        <is>
          <t>FA-KPI-3</t>
        </is>
      </c>
      <c r="B176" s="70" t="inlineStr">
        <is>
          <t>Finance &amp; Accounting</t>
        </is>
      </c>
      <c r="C176" s="70" t="inlineStr">
        <is>
          <t>LEK_FND_Finance and Accounting Business Rules &amp; Requirements_v2.docx</t>
        </is>
      </c>
      <c r="D176" s="70" t="inlineStr">
        <is>
          <t>What are the relevant metrics for tracking breakage and how will they be gathered?</t>
        </is>
      </c>
      <c r="E176" s="70" t="inlineStr">
        <is>
          <t>ERP, CRM, and loyalty reporting systems must produce monthly breakage inputs (including issued, redeemed, expired / forfeited, total liability, and actual versus assumed breakage rate) with aligned definitions across sources.
Finance / Accounting workstream to recommend relevant metrics that need to be incorporated into appropriate systems and shared with third-party actuary</t>
        </is>
      </c>
      <c r="F176" s="70" t="inlineStr">
        <is>
          <t>215 (Gap &amp; Edge Cases)</t>
        </is>
      </c>
      <c r="G176" s="70" t="n">
        <v>1</v>
      </c>
      <c r="H176" s="70" t="inlineStr">
        <is>
          <t>Covered</t>
        </is>
      </c>
    </row>
    <row r="177">
      <c r="A177" s="70" t="inlineStr">
        <is>
          <t>FA-KPI-4</t>
        </is>
      </c>
      <c r="B177" s="70" t="inlineStr">
        <is>
          <t>Finance &amp; Accounting</t>
        </is>
      </c>
      <c r="C177" s="70" t="inlineStr">
        <is>
          <t>LEK_FND_Finance and Accounting Business Rules &amp; Requirements_v2.docx</t>
        </is>
      </c>
      <c r="D177" s="70" t="inlineStr">
        <is>
          <t>How will we quantify incremental revenue from the loyalty program?</t>
        </is>
      </c>
      <c r="E177" s="70" t="inlineStr">
        <is>
          <t>Finance / accounting is working to establish methodology to quantify incremental revenue, which will dictate data points and system permissions required to track incrementality.</t>
        </is>
      </c>
      <c r="F177" s="70" t="inlineStr">
        <is>
          <t>221 (Gap &amp; Edge Cases)</t>
        </is>
      </c>
      <c r="G177" s="70" t="n">
        <v>1</v>
      </c>
      <c r="H177" s="70" t="inlineStr">
        <is>
          <t>Covered</t>
        </is>
      </c>
    </row>
    <row r="178">
      <c r="A178" s="70" t="inlineStr">
        <is>
          <t>FA-KPI-5</t>
        </is>
      </c>
      <c r="B178" s="70" t="inlineStr">
        <is>
          <t>Finance &amp; Accounting</t>
        </is>
      </c>
      <c r="C178" s="70" t="inlineStr">
        <is>
          <t>LEK_FND_Finance and Accounting Business Rules &amp; Requirements_v2.docx</t>
        </is>
      </c>
      <c r="D178" s="70" t="inlineStr">
        <is>
          <t>Who are the relevant audiences of KPI reports and how often will their reports need to be refreshed?</t>
        </is>
      </c>
      <c r="E178" s="70" t="inlineStr">
        <is>
          <t>Finance will prepare the following reports for distinct audiences to provide performance updates for the loyalty model. They will require the proper data connections and software to build these reports and refresh them on a constant basis (monthly to weekly for most reports). These reports include: 
Loyalty P&amp;L – CFO &amp; CEO, updated monthly in the FP&amp;A package 
Executive Summary (1-pager) - CFO &amp; CEO updated monthly in PDF with exec dashboard
Program Performance Dashboard – CCO and marketing updated monthly in PowerBI
Store Scorecard – RVPs, DMs, &amp; Stores updated weekly through PowerBI
Operational Health Dashboard – daily update for loyalty internal team
Incrementality Report – CFO &amp; CMO updated quarterly through standalone presentation
Liability &amp; Breakage Report – CFO &amp; Controller Updated Monthly through the Finance Package
Member Cohort LTV Analysis – CFO, CMO, Strategy updated Quarterly to be included in the QBR</t>
        </is>
      </c>
      <c r="F178" s="70" t="inlineStr">
        <is>
          <t>216, 217, 218, 219, 220, 221, 222, 223 (Gap &amp; Edge Cases); 72 (Use Cases)</t>
        </is>
      </c>
      <c r="G178" s="70" t="n">
        <v>9</v>
      </c>
      <c r="H178" s="70" t="inlineStr">
        <is>
          <t>Covered</t>
        </is>
      </c>
    </row>
    <row r="179">
      <c r="A179" s="70" t="inlineStr">
        <is>
          <t>PPR-WD-1</t>
        </is>
      </c>
      <c r="B179" s="70" t="inlineStr">
        <is>
          <t>PPR Transition</t>
        </is>
      </c>
      <c r="C179" s="70" t="inlineStr">
        <is>
          <t>LEK_FND_PPR Transition Business Rules &amp; Requirements_v2.docx</t>
        </is>
      </c>
      <c r="D179" s="70" t="inlineStr">
        <is>
          <t>How will F&amp;D establish a clean break from the existing program?</t>
        </is>
      </c>
      <c r="E179" s="70" t="inlineStr">
        <is>
          <t>Prior to the launch of the new program, POS systems (across in-store, app, and web) must initiate a hard stop on PPR point accrual at a pre-defined cutoff date (likely end of 2026 but to be confirmed), after which no transactions generate new PPR points.</t>
        </is>
      </c>
      <c r="F179" s="70" t="inlineStr">
        <is>
          <t>200 (Gap &amp; Edge Cases); 67 (Use Cases)</t>
        </is>
      </c>
      <c r="G179" s="70" t="n">
        <v>2</v>
      </c>
      <c r="H179" s="70" t="inlineStr">
        <is>
          <t>Covered</t>
        </is>
      </c>
    </row>
    <row r="180">
      <c r="A180" s="70" t="inlineStr">
        <is>
          <t>PPR-WD-2</t>
        </is>
      </c>
      <c r="B180" s="70" t="inlineStr">
        <is>
          <t>PPR Transition</t>
        </is>
      </c>
      <c r="C180" s="70" t="inlineStr">
        <is>
          <t>LEK_FND_PPR Transition Business Rules &amp; Requirements_v2.docx</t>
        </is>
      </c>
      <c r="D180" s="70" t="inlineStr">
        <is>
          <t>How will transactions around the cutoff date be handled?</t>
        </is>
      </c>
      <c r="E180" s="70" t="inlineStr">
        <is>
          <t>Transactions accrued prior to the exact cutoff timestamp must accrue points under the transition rules, but the POS systems (across in-store, app, and web) must ensure any transactions finalized after the cutoff do not earn points.</t>
        </is>
      </c>
      <c r="F180" s="70" t="inlineStr">
        <is>
          <t>200 (Gap &amp; Edge Cases); 67 (Use Cases)</t>
        </is>
      </c>
      <c r="G180" s="70" t="n">
        <v>2</v>
      </c>
      <c r="H180" s="70" t="inlineStr">
        <is>
          <t>Covered</t>
        </is>
      </c>
    </row>
    <row r="181">
      <c r="A181" s="70" t="inlineStr">
        <is>
          <t>PPR-WD-3</t>
        </is>
      </c>
      <c r="B181" s="70" t="inlineStr">
        <is>
          <t>PPR Transition</t>
        </is>
      </c>
      <c r="C181" s="70" t="inlineStr">
        <is>
          <t>LEK_FND_PPR Transition Business Rules &amp; Requirements_v2.docx</t>
        </is>
      </c>
      <c r="D181" s="70" t="inlineStr">
        <is>
          <t>Will F&amp;D permit retroactive point earning on transactions completed before the cutoff date?</t>
        </is>
      </c>
      <c r="E181" s="70" t="inlineStr">
        <is>
          <t>To be consistent with how the existing PPR system operates, PROs will be enabled to retroactively claim points on transactions with a POS transactions date / time (across in-store, app, and web) finalized of exact cutoff.</t>
        </is>
      </c>
      <c r="F181" s="70" t="inlineStr">
        <is>
          <t>201 (Gap &amp; Edge Cases)</t>
        </is>
      </c>
      <c r="G181" s="70" t="n">
        <v>1</v>
      </c>
      <c r="H181" s="70" t="inlineStr">
        <is>
          <t>Covered</t>
        </is>
      </c>
    </row>
    <row r="182">
      <c r="A182" s="70" t="inlineStr">
        <is>
          <t>PPR-WD-4</t>
        </is>
      </c>
      <c r="B182" s="70" t="inlineStr">
        <is>
          <t>PPR Transition</t>
        </is>
      </c>
      <c r="C182" s="70" t="inlineStr">
        <is>
          <t>LEK_FND_PPR Transition Business Rules &amp; Requirements_v2.docx</t>
        </is>
      </c>
      <c r="D182" s="70" t="inlineStr">
        <is>
          <t>How are post-cutoff returns going to be handled for transactions that earned PPR points?</t>
        </is>
      </c>
      <c r="E182" s="70" t="inlineStr">
        <is>
          <t>To be consistent with how the existing PPR system operates, PPR points earned on transactions that have been returned must be deducted from a member’s points balance in the CRM &amp; existing points tracking systems, even if that deduction results in that member’s point balance being negative.</t>
        </is>
      </c>
      <c r="F182" s="70" t="inlineStr">
        <is>
          <t>202 (Gap &amp; Edge Cases)</t>
        </is>
      </c>
      <c r="G182" s="70" t="n">
        <v>1</v>
      </c>
      <c r="H182" s="70" t="inlineStr">
        <is>
          <t>Covered</t>
        </is>
      </c>
    </row>
    <row r="183">
      <c r="A183" s="70" t="inlineStr">
        <is>
          <t>PPR-WD-5</t>
        </is>
      </c>
      <c r="B183" s="70" t="inlineStr">
        <is>
          <t>PPR Transition</t>
        </is>
      </c>
      <c r="C183" s="70" t="inlineStr">
        <is>
          <t>LEK_FND_PPR Transition Business Rules &amp; Requirements_v2.docx</t>
        </is>
      </c>
      <c r="D183" s="70" t="inlineStr">
        <is>
          <t>Will PROs still be allowed to redeem their points balances for points?</t>
        </is>
      </c>
      <c r="E183" s="70" t="inlineStr">
        <is>
          <t>Yes, PROs will be permitted to continue to redeem their points post-cutoff through Augeo indefinitely.
PROs must be enabled to view their legacy PPR points balance in the redemption portal, and the CRM / downstream systems must still track PPR outstanding points balance.</t>
        </is>
      </c>
      <c r="F183" s="70" t="inlineStr">
        <is>
          <t>203 (Gap &amp; Edge Cases)</t>
        </is>
      </c>
      <c r="G183" s="70" t="n">
        <v>1</v>
      </c>
      <c r="H183" s="70" t="inlineStr">
        <is>
          <t>Covered</t>
        </is>
      </c>
    </row>
    <row r="184">
      <c r="A184" s="70" t="inlineStr">
        <is>
          <t>PPR-WD-6</t>
        </is>
      </c>
      <c r="B184" s="70" t="inlineStr">
        <is>
          <t>PPR Transition</t>
        </is>
      </c>
      <c r="C184" s="70" t="inlineStr">
        <is>
          <t>LEK_FND_PPR Transition Business Rules &amp; Requirements_v2.docx</t>
        </is>
      </c>
      <c r="D184" s="70" t="inlineStr">
        <is>
          <t>Will redemption rules change during the program wind-down?</t>
        </is>
      </c>
      <c r="E184" s="70" t="inlineStr">
        <is>
          <t>No, existing redemption catalog and rules will remain unchanged during the indefinite redemption window.</t>
        </is>
      </c>
      <c r="F184" s="70" t="inlineStr">
        <is>
          <t>203 (Gap &amp; Edge Cases)</t>
        </is>
      </c>
      <c r="G184" s="70" t="n">
        <v>1</v>
      </c>
      <c r="H184" s="70" t="inlineStr">
        <is>
          <t>Covered</t>
        </is>
      </c>
    </row>
    <row r="185">
      <c r="A185" s="70" t="inlineStr">
        <is>
          <t>PPR-WD-7</t>
        </is>
      </c>
      <c r="B185" s="70" t="inlineStr">
        <is>
          <t>PPR Transition</t>
        </is>
      </c>
      <c r="C185" s="70" t="inlineStr">
        <is>
          <t>LEK_FND_PPR Transition Business Rules &amp; Requirements_v2.docx</t>
        </is>
      </c>
      <c r="D185" s="70" t="inlineStr">
        <is>
          <t>How will legacy PPR points be accounted for?</t>
        </is>
      </c>
      <c r="E185" s="70" t="inlineStr">
        <is>
          <t>Accounting will estimate outstanding points liability through their existing methodology to report liability for the legacy PPR program, which will be carried alongside any new liabilities for the new program.</t>
        </is>
      </c>
      <c r="F185" s="70" t="inlineStr">
        <is>
          <t>70 (Use Cases)</t>
        </is>
      </c>
      <c r="G185" s="70" t="n">
        <v>1</v>
      </c>
      <c r="H185" s="70" t="inlineStr">
        <is>
          <t>Covered</t>
        </is>
      </c>
    </row>
    <row r="186">
      <c r="A186" s="70" t="inlineStr">
        <is>
          <t>PPR-WD-8</t>
        </is>
      </c>
      <c r="B186" s="70" t="inlineStr">
        <is>
          <t>PPR Transition</t>
        </is>
      </c>
      <c r="C186" s="70" t="inlineStr">
        <is>
          <t>LEK_FND_PPR Transition Business Rules &amp; Requirements_v2.docx</t>
        </is>
      </c>
      <c r="D186" s="70" t="inlineStr">
        <is>
          <t>What will happen to historical PPR data?</t>
        </is>
      </c>
      <c r="E186" s="70" t="inlineStr">
        <is>
          <t>All historical data must be retained in CRM / reporting systems for audit and customer service purposes, but will not be surfaced prominently in PRO facing interfaces (app, website etc.) post transition, with the exception of an account’s remaining PPR points balance.</t>
        </is>
      </c>
      <c r="F186" s="70" t="inlineStr">
        <is>
          <t>204 (Gap &amp; Edge Cases)</t>
        </is>
      </c>
      <c r="G186" s="70" t="n">
        <v>1</v>
      </c>
      <c r="H186" s="70" t="inlineStr">
        <is>
          <t>Covered</t>
        </is>
      </c>
    </row>
    <row r="187">
      <c r="A187" s="70" t="inlineStr">
        <is>
          <t>PPR-WD-9</t>
        </is>
      </c>
      <c r="B187" s="70" t="inlineStr">
        <is>
          <t>PPR Transition</t>
        </is>
      </c>
      <c r="C187" s="70" t="inlineStr">
        <is>
          <t>LEK_FND_PPR Transition Business Rules &amp; Requirements_v2.docx</t>
        </is>
      </c>
      <c r="D187" s="70" t="inlineStr">
        <is>
          <t>Will accounts be able to see their outstanding PPR points balances once the new program launches?</t>
        </is>
      </c>
      <c r="E187" s="70" t="inlineStr">
        <is>
          <t>As defined under the CRM business rules, account primaries and authorized delegate users will be permitted to view any outstanding PPR points in the new program touchpoints.</t>
        </is>
      </c>
      <c r="F187" s="70" t="inlineStr">
        <is>
          <t>204 (Gap &amp; Edge Cases)</t>
        </is>
      </c>
      <c r="G187" s="70" t="n">
        <v>1</v>
      </c>
      <c r="H187" s="70" t="inlineStr">
        <is>
          <t>Covered</t>
        </is>
      </c>
    </row>
    <row r="188">
      <c r="A188" s="70" t="inlineStr">
        <is>
          <t>PPR-AS-1</t>
        </is>
      </c>
      <c r="B188" s="70" t="inlineStr">
        <is>
          <t>PPR Transition</t>
        </is>
      </c>
      <c r="C188" s="70" t="inlineStr">
        <is>
          <t>LEK_FND_PPR Transition Business Rules &amp; Requirements_v2.docx</t>
        </is>
      </c>
      <c r="D188" s="70" t="inlineStr">
        <is>
          <t>Which PPR members are going to be migrated into the new program?</t>
        </is>
      </c>
      <c r="E188" s="70" t="inlineStr">
        <is>
          <t>All active PPR members will be evaluated for migration with a portion of identified users to be migrated into the new CRM under an account-based structure, subject to successful user-to-account mapping by leveraging the Amperity Company Stitch work.
Determination on identified users for migration to be made by working team &amp; ELT</t>
        </is>
      </c>
      <c r="F188" s="70" t="inlineStr">
        <is>
          <t>7, 68 (Use Cases)</t>
        </is>
      </c>
      <c r="G188" s="70" t="n">
        <v>2</v>
      </c>
      <c r="H188" s="70" t="inlineStr">
        <is>
          <t>Covered</t>
        </is>
      </c>
    </row>
    <row r="189">
      <c r="A189" s="70" t="inlineStr">
        <is>
          <t>PPR-AS-2</t>
        </is>
      </c>
      <c r="B189" s="70" t="inlineStr">
        <is>
          <t>PPR Transition</t>
        </is>
      </c>
      <c r="C189" s="70" t="inlineStr">
        <is>
          <t>LEK_FND_PPR Transition Business Rules &amp; Requirements_v2.docx</t>
        </is>
      </c>
      <c r="D189" s="70" t="inlineStr">
        <is>
          <t>How are PPR users mapped to new accounts?</t>
        </is>
      </c>
      <c r="E189" s="70" t="inlineStr">
        <is>
          <t>The CRM and loyalty engine must support the mapping of existing PPR users to account-level structures, ensuring that PRO details (e.g., information, transaction history) are accurately associated to correct profile and account records. 
This mapping must enable consolidation of multiple PPR users into a single account where applicable.</t>
        </is>
      </c>
      <c r="F189" s="70" t="inlineStr">
        <is>
          <t>7, 66 (Use Cases)</t>
        </is>
      </c>
      <c r="G189" s="70" t="n">
        <v>2</v>
      </c>
      <c r="H189" s="70" t="inlineStr">
        <is>
          <t>Covered</t>
        </is>
      </c>
    </row>
    <row r="190">
      <c r="A190" s="70" t="inlineStr">
        <is>
          <t>PPR-AS-3</t>
        </is>
      </c>
      <c r="B190" s="70" t="inlineStr">
        <is>
          <t>PPR Transition</t>
        </is>
      </c>
      <c r="C190" s="70" t="inlineStr">
        <is>
          <t>LEK_FND_PPR Transition Business Rules &amp; Requirements_v2.docx</t>
        </is>
      </c>
      <c r="D190" s="70" t="inlineStr">
        <is>
          <t>How will PROs be seeded into tiers?</t>
        </is>
      </c>
      <c r="E190" s="70" t="inlineStr">
        <is>
          <t>PROs will be seeded into tiers (Silver, Gold, or Platinum) based on LTM spend at the time of the PPR earning cutoff date and additional eligibility requirements. 
The CRM must enable a mapping of existing PPR member accounts to future-state “seeded” tier based on LTM spend.
To discuss additional eligibility requirements, including which PROs are going to be seeded</t>
        </is>
      </c>
      <c r="F190" s="70" t="inlineStr">
        <is>
          <t>7, 66 (Use Cases)</t>
        </is>
      </c>
      <c r="G190" s="70" t="n">
        <v>2</v>
      </c>
      <c r="H190" s="70" t="inlineStr">
        <is>
          <t>Covered</t>
        </is>
      </c>
    </row>
    <row r="191">
      <c r="A191" s="70" t="inlineStr">
        <is>
          <t>PPR-AS-4</t>
        </is>
      </c>
      <c r="B191" s="70" t="inlineStr">
        <is>
          <t>PPR Transition</t>
        </is>
      </c>
      <c r="C191" s="70" t="inlineStr">
        <is>
          <t>LEK_FND_PPR Transition Business Rules &amp; Requirements_v2.docx</t>
        </is>
      </c>
      <c r="D191" s="70" t="inlineStr">
        <is>
          <t>Are manual overrides permitted to force account seeding?</t>
        </is>
      </c>
      <c r="E191" s="70" t="inlineStr">
        <is>
          <t>Manual account seeding will not be permitted at the store associate level.</t>
        </is>
      </c>
      <c r="F191" s="70" t="inlineStr">
        <is>
          <t>208 (Gap &amp; Edge Cases)</t>
        </is>
      </c>
      <c r="G191" s="70" t="n">
        <v>1</v>
      </c>
      <c r="H191" s="70" t="inlineStr">
        <is>
          <t>Covered</t>
        </is>
      </c>
    </row>
    <row r="192">
      <c r="A192" s="70" t="inlineStr">
        <is>
          <t>PPR-AS-5</t>
        </is>
      </c>
      <c r="B192" s="70" t="inlineStr">
        <is>
          <t>PPR Transition</t>
        </is>
      </c>
      <c r="C192" s="70" t="inlineStr">
        <is>
          <t>LEK_FND_PPR Transition Business Rules &amp; Requirements_v2.docx</t>
        </is>
      </c>
      <c r="D192" s="70" t="inlineStr">
        <is>
          <t>When will seeded accounts begin to earn / redeem rewards under the new program design?</t>
        </is>
      </c>
      <c r="E192" s="70" t="inlineStr">
        <is>
          <t>POS systems (whether in-store, online, or web) and the loyalty engine must be able to identify accounts that have been seeded into each tier and reward tracking / eligibility must be ready for PROs to view &amp; use immediately at program launch.</t>
        </is>
      </c>
      <c r="F192" s="70" t="inlineStr">
        <is>
          <t>66 (Use Cases)</t>
        </is>
      </c>
      <c r="G192" s="70" t="n">
        <v>1</v>
      </c>
      <c r="H192" s="70" t="inlineStr">
        <is>
          <t>Covered</t>
        </is>
      </c>
    </row>
    <row r="193">
      <c r="A193" s="70" t="inlineStr">
        <is>
          <t>PPR-AS-6</t>
        </is>
      </c>
      <c r="B193" s="70" t="inlineStr">
        <is>
          <t>PPR Transition</t>
        </is>
      </c>
      <c r="C193" s="70" t="inlineStr">
        <is>
          <t>LEK_FND_PPR Transition Business Rules &amp; Requirements_v2.docx</t>
        </is>
      </c>
      <c r="D193" s="70" t="inlineStr">
        <is>
          <t>Are seeded benefits treated differently than benefits earned from PROs who qualify for a new tier at program maturity?</t>
        </is>
      </c>
      <c r="E193" s="70" t="inlineStr">
        <is>
          <t>No, with the exception that the POS systems / loyalty engine must permit PROs to earn / redeem their specific tier benefits from the first dollar they spend under the new program</t>
        </is>
      </c>
      <c r="F193" s="70" t="inlineStr">
        <is>
          <t>66 (Use Cases)</t>
        </is>
      </c>
      <c r="G193" s="70" t="n">
        <v>1</v>
      </c>
      <c r="H193" s="70" t="inlineStr">
        <is>
          <t>Covered</t>
        </is>
      </c>
    </row>
    <row r="194">
      <c r="A194" s="70" t="inlineStr">
        <is>
          <t>PPR-AS-7</t>
        </is>
      </c>
      <c r="B194" s="70" t="inlineStr">
        <is>
          <t>PPR Transition</t>
        </is>
      </c>
      <c r="C194" s="70" t="inlineStr">
        <is>
          <t>LEK_FND_PPR Transition Business Rules &amp; Requirements_v2.docx</t>
        </is>
      </c>
      <c r="D194" s="70" t="inlineStr">
        <is>
          <t>When are seeded accounts activated in the new program?</t>
        </is>
      </c>
      <c r="E194" s="70" t="inlineStr">
        <is>
          <t>All migrated accounts must be activated in the loyalty engine / POS systems immediately at program launch, with tier status and reward eligibility pre-calculated and visible to PROs, Associates, and other F&amp;D team members.</t>
        </is>
      </c>
      <c r="F194" s="70" t="inlineStr">
        <is>
          <t>7, 68 (Use Cases)</t>
        </is>
      </c>
      <c r="G194" s="70" t="n">
        <v>2</v>
      </c>
      <c r="H194" s="70" t="inlineStr">
        <is>
          <t>Covered</t>
        </is>
      </c>
    </row>
    <row r="195">
      <c r="A195" s="70" t="inlineStr">
        <is>
          <t>PPR-AS-8</t>
        </is>
      </c>
      <c r="B195" s="70" t="inlineStr">
        <is>
          <t>PPR Transition</t>
        </is>
      </c>
      <c r="C195" s="70" t="inlineStr">
        <is>
          <t>LEK_FND_PPR Transition Business Rules &amp; Requirements_v2.docx</t>
        </is>
      </c>
      <c r="D195" s="70" t="inlineStr">
        <is>
          <t>What onboarding is required for seeded accounts?</t>
        </is>
      </c>
      <c r="E195" s="70" t="inlineStr">
        <is>
          <t>Seeded accounts can transact immediately under the new program, but certain benefits (e.g., rebate in high tiers) must be selected before PROs are able to redeem these benefits.</t>
        </is>
      </c>
      <c r="F195" s="70" t="inlineStr">
        <is>
          <t>136 (Gap &amp; Edge Cases)</t>
        </is>
      </c>
      <c r="G195" s="70" t="n">
        <v>1</v>
      </c>
      <c r="H195" s="70" t="inlineStr">
        <is>
          <t>Covered</t>
        </is>
      </c>
    </row>
    <row r="196">
      <c r="A196" s="70" t="inlineStr">
        <is>
          <t>PPR-AS-9</t>
        </is>
      </c>
      <c r="B196" s="70" t="inlineStr">
        <is>
          <t>PPR Transition</t>
        </is>
      </c>
      <c r="C196" s="70" t="inlineStr">
        <is>
          <t>LEK_FND_PPR Transition Business Rules &amp; Requirements_v2.docx</t>
        </is>
      </c>
      <c r="D196" s="70" t="inlineStr">
        <is>
          <t>How will F&amp;D identify accounts to consider for the CAM program during this transition?</t>
        </is>
      </c>
      <c r="E196" s="70" t="inlineStr">
        <is>
          <t>The CRM must track accounts with &gt; $250K in LTM spend and flag them for consideration for the CAM program.
PROs that qualify for consideration must be consolidated into a report for the Commercial team (led by Coleen) to review, along with any relevant account information (user information, business description, etc).
Accounts that are selected for the CAM program must be marked in the CRM and POS systems and blocked in the loyalty engine from receiving Platinum tier benefits.
The commercial team must override any CAM eligible accounts that are not going to be admitted into the CAM program in the CRM, which then needs to flow through to POS and PRO-facing UI and classify the PRO as Platinum tier.</t>
        </is>
      </c>
      <c r="F196" s="70" t="inlineStr">
        <is>
          <t>182, 183, 184 (Gap &amp; Edge Cases)</t>
        </is>
      </c>
      <c r="G196" s="70" t="n">
        <v>3</v>
      </c>
      <c r="H196" s="70" t="inlineStr">
        <is>
          <t>Covered</t>
        </is>
      </c>
    </row>
    <row r="197">
      <c r="A197" s="70" t="inlineStr">
        <is>
          <t>PPR-PC-1</t>
        </is>
      </c>
      <c r="B197" s="70" t="inlineStr">
        <is>
          <t>PPR Transition</t>
        </is>
      </c>
      <c r="C197" s="70" t="inlineStr">
        <is>
          <t>LEK_FND_PPR Transition Business Rules &amp; Requirements_v2.docx</t>
        </is>
      </c>
      <c r="D197" s="70" t="inlineStr">
        <is>
          <t>When will PROs be notified of the transition?</t>
        </is>
      </c>
      <c r="E197" s="70" t="inlineStr">
        <is>
          <t>PROs will first be notified of the program transition 2-3 months prior to the PPR point earning cutoff, after Augeo has been notified.
PROs will be notified of PPR transition reminders at key milestones such as point earning stop, program launch, and 90 days before balance expiry / conclusion of extended redemption window. 
The CRM, marketing interfaces, existing loyalty program systems must keep track of which PROs have received these communications, and when, to ensure legal compliance throughout the transition.</t>
        </is>
      </c>
      <c r="F197" s="70" t="inlineStr">
        <is>
          <t>205 (Gap &amp; Edge Cases); 69 (Use Cases)</t>
        </is>
      </c>
      <c r="G197" s="70" t="n">
        <v>2</v>
      </c>
      <c r="H197" s="70" t="inlineStr">
        <is>
          <t>Covered</t>
        </is>
      </c>
    </row>
    <row r="198">
      <c r="A198" s="70" t="inlineStr">
        <is>
          <t>PPR-PC-2</t>
        </is>
      </c>
      <c r="B198" s="70" t="inlineStr">
        <is>
          <t>PPR Transition</t>
        </is>
      </c>
      <c r="C198" s="70" t="inlineStr">
        <is>
          <t>LEK_FND_PPR Transition Business Rules &amp; Requirements_v2.docx</t>
        </is>
      </c>
      <c r="D198" s="70" t="inlineStr">
        <is>
          <t>How will PROs be notified of the transition?</t>
        </is>
      </c>
      <c r="E198" s="70" t="inlineStr">
        <is>
          <t>PROs will be notified through existing CRM user fields tiered to their accounts (email, phone number). 
PROs must be able to be notified of the program transition via existing channels (Email, App, E-Comm).
Specific communication timing, cadence, and content will be defined and managed by the Marketing &amp; Communications team (Mark Holland).</t>
        </is>
      </c>
      <c r="F198" s="70" t="inlineStr">
        <is>
          <t>205 (Gap &amp; Edge Cases); 69, 75 (Use Cases)</t>
        </is>
      </c>
      <c r="G198" s="70" t="n">
        <v>3</v>
      </c>
      <c r="H198" s="70" t="inlineStr">
        <is>
          <t>Covered</t>
        </is>
      </c>
    </row>
    <row r="199">
      <c r="A199" s="70" t="inlineStr">
        <is>
          <t>PPR-PC-3</t>
        </is>
      </c>
      <c r="B199" s="70" t="inlineStr">
        <is>
          <t>PPR Transition</t>
        </is>
      </c>
      <c r="C199" s="70" t="inlineStr">
        <is>
          <t>LEK_FND_PPR Transition Business Rules &amp; Requirements_v2.docx</t>
        </is>
      </c>
      <c r="D199" s="70" t="inlineStr">
        <is>
          <t>How will communication be tracked?</t>
        </is>
      </c>
      <c r="E199" s="70" t="inlineStr">
        <is>
          <t>The CRM must track communication delivery by PRO account, and system-level open rates (for digital communication).</t>
        </is>
      </c>
      <c r="F199" s="70" t="inlineStr">
        <is>
          <t>206 (Gap &amp; Edge Cases); 76 (Use Cases)</t>
        </is>
      </c>
      <c r="G199" s="70" t="n">
        <v>2</v>
      </c>
      <c r="H199" s="70" t="inlineStr">
        <is>
          <t>Covered</t>
        </is>
      </c>
    </row>
    <row r="200">
      <c r="A200" s="70" t="inlineStr">
        <is>
          <t>PPR-PC-4</t>
        </is>
      </c>
      <c r="B200" s="70" t="inlineStr">
        <is>
          <t>PPR Transition</t>
        </is>
      </c>
      <c r="C200" s="70" t="inlineStr">
        <is>
          <t>LEK_FND_PPR Transition Business Rules &amp; Requirements_v2.docx</t>
        </is>
      </c>
      <c r="D200" s="70" t="inlineStr">
        <is>
          <t>How will PRO questions be handled during the transition?</t>
        </is>
      </c>
      <c r="E200" s="70" t="inlineStr">
        <is>
          <t>Customer support workflows must be established with clear escalation paths for issues related to points, account setup, and rewards.</t>
        </is>
      </c>
      <c r="F200" s="70" t="inlineStr">
        <is>
          <t>186 (Gap &amp; Edge Cases); 97 (Use Cases)</t>
        </is>
      </c>
      <c r="G200" s="70" t="n">
        <v>2</v>
      </c>
      <c r="H200" s="70" t="inlineStr">
        <is>
          <t>Covered</t>
        </is>
      </c>
    </row>
    <row r="201">
      <c r="A201" s="70" t="inlineStr">
        <is>
          <t>PPR-DC-1</t>
        </is>
      </c>
      <c r="B201" s="70" t="inlineStr">
        <is>
          <t>PPR Transition</t>
        </is>
      </c>
      <c r="C201" s="70" t="inlineStr">
        <is>
          <t>LEK_FND_PPR Transition Business Rules &amp; Requirements_v2.docx</t>
        </is>
      </c>
      <c r="D201" s="70" t="inlineStr">
        <is>
          <t>When should new PPR member data be collected to support account transition?</t>
        </is>
      </c>
      <c r="E201" s="70" t="inlineStr">
        <is>
          <t>Data collection must occur across multiple touchpoints. For accounts with incomplete business or user information, outreach to complete missing data will occur pre-transition to help facilitate the user-to-account mapping. CRM must track when data collection outreach is initiated by PRO, and what data is received to update user &amp; future account level information.</t>
        </is>
      </c>
      <c r="F201" s="70" t="inlineStr">
        <is>
          <t>209 (Gap &amp; Edge Cases); 69 (Use Cases)</t>
        </is>
      </c>
      <c r="G201" s="70" t="n">
        <v>2</v>
      </c>
      <c r="H201" s="70" t="inlineStr">
        <is>
          <t>Covered</t>
        </is>
      </c>
    </row>
    <row r="202">
      <c r="A202" s="70" t="inlineStr">
        <is>
          <t>PPR-DC-2</t>
        </is>
      </c>
      <c r="B202" s="70" t="inlineStr">
        <is>
          <t>PPR Transition</t>
        </is>
      </c>
      <c r="C202" s="70" t="inlineStr">
        <is>
          <t>LEK_FND_PPR Transition Business Rules &amp; Requirements_v2.docx</t>
        </is>
      </c>
      <c r="D202" s="70" t="inlineStr">
        <is>
          <t>How will F&amp;D collect additional data from PPR members?</t>
        </is>
      </c>
      <c r="E202" s="70" t="inlineStr">
        <is>
          <t>Where possible, F&amp;D can leverage existing user information (email, phone, app) to initiate asynchronous outreach fill in any gaps in account-level data.
For accounts with incomplete information, CRM / POS must flag that information is incomplete / out of date.</t>
        </is>
      </c>
      <c r="F202" s="70" t="inlineStr">
        <is>
          <t>209 (Gap &amp; Edge Cases); 69 (Use Cases)</t>
        </is>
      </c>
      <c r="G202" s="70" t="n">
        <v>2</v>
      </c>
      <c r="H202" s="70" t="inlineStr">
        <is>
          <t>Covered</t>
        </is>
      </c>
    </row>
    <row r="203">
      <c r="A203" s="70" t="inlineStr">
        <is>
          <t>PPR-DC-3</t>
        </is>
      </c>
      <c r="B203" s="70" t="inlineStr">
        <is>
          <t>PPR Transition</t>
        </is>
      </c>
      <c r="C203" s="70" t="inlineStr">
        <is>
          <t>LEK_FND_PPR Transition Business Rules &amp; Requirements_v2.docx</t>
        </is>
      </c>
      <c r="D203" s="70" t="inlineStr">
        <is>
          <t>What additional PRO data will help facilitate the transition?</t>
        </is>
      </c>
      <c r="E203" s="70" t="inlineStr">
        <is>
          <t>CRM / POS must flag accounts that have missing / outdated data fields for any of the following:
Name
Company name
Email
Phone number
PRO type</t>
        </is>
      </c>
      <c r="F203" s="70" t="inlineStr">
        <is>
          <t>151 (Gap &amp; Edge Cases)</t>
        </is>
      </c>
      <c r="G203" s="70" t="n">
        <v>1</v>
      </c>
      <c r="H203" s="70" t="inlineStr">
        <is>
          <t>Covered</t>
        </is>
      </c>
    </row>
    <row r="204">
      <c r="A204" s="70" t="inlineStr">
        <is>
          <t>PPR-DC-4</t>
        </is>
      </c>
      <c r="B204" s="70" t="inlineStr">
        <is>
          <t>PPR Transition</t>
        </is>
      </c>
      <c r="C204" s="70" t="inlineStr">
        <is>
          <t>LEK_FND_PPR Transition Business Rules &amp; Requirements_v2.docx</t>
        </is>
      </c>
      <c r="D204" s="70" t="inlineStr">
        <is>
          <t>If F&amp;D is unable to complete account data fields prior to launch, when is the primary data capture moment?</t>
        </is>
      </c>
      <c r="E204" s="70" t="inlineStr">
        <is>
          <t>The first login to the PRO app or first transaction post-launch will be the primary data capture moment. PROs will be prompted with a welcome message into the new program, ask for their authorization to participate, and will be asked to input their user information to be eligible to begin earning in the new program.</t>
        </is>
      </c>
      <c r="F204" s="70" t="inlineStr">
        <is>
          <t>207 (Gap &amp; Edge Cases)</t>
        </is>
      </c>
      <c r="G204" s="70" t="n">
        <v>1</v>
      </c>
      <c r="H204" s="70" t="inlineStr">
        <is>
          <t>Covered</t>
        </is>
      </c>
    </row>
    <row r="205">
      <c r="A205" s="70" t="inlineStr">
        <is>
          <t>PR-BP-1</t>
        </is>
      </c>
      <c r="B205" s="70" t="inlineStr">
        <is>
          <t>Pricing</t>
        </is>
      </c>
      <c r="C205" s="70" t="inlineStr">
        <is>
          <t>LEK_FND_Pricing Business Rules &amp; Requirements_v2.docx</t>
        </is>
      </c>
      <c r="D205" s="70" t="inlineStr">
        <is>
          <t>What products are eligible for bulk pricing?</t>
        </is>
      </c>
      <c r="E205" s="70" t="inlineStr">
        <is>
          <t>Products that appear in a high % of Pro transactions, are bought in multiples, and / or are at a competitive disadvantage in the retail business.  Mostly Installation Materials.  
Also evaluating pallet programs for high volume tier 1.</t>
        </is>
      </c>
      <c r="F205" s="70" t="inlineStr">
        <is>
          <t>88 (Use Cases)</t>
        </is>
      </c>
      <c r="G205" s="70" t="n">
        <v>1</v>
      </c>
      <c r="H205" s="70" t="inlineStr">
        <is>
          <t>Covered</t>
        </is>
      </c>
    </row>
    <row r="206">
      <c r="A206" s="70" t="inlineStr">
        <is>
          <t>PR-BP-2</t>
        </is>
      </c>
      <c r="B206" s="70" t="inlineStr">
        <is>
          <t>Pricing</t>
        </is>
      </c>
      <c r="C206" s="70" t="inlineStr">
        <is>
          <t>LEK_FND_Pricing Business Rules &amp; Requirements_v2.docx</t>
        </is>
      </c>
      <c r="D206" s="70" t="inlineStr">
        <is>
          <t>Who is eligible for bulk pricing?</t>
        </is>
      </c>
      <c r="E206" s="70" t="inlineStr">
        <is>
          <t>All PRO accounts in the loyalty program must be eligible for bulk pricing, regardless of tier status or historical spend. Eligibility must be tied to PRO account identification at POS and requires PRO login.</t>
        </is>
      </c>
      <c r="F206" s="70" t="inlineStr">
        <is>
          <t>86 (Use Cases)</t>
        </is>
      </c>
      <c r="G206" s="70" t="n">
        <v>1</v>
      </c>
      <c r="H206" s="70" t="inlineStr">
        <is>
          <t>Covered</t>
        </is>
      </c>
    </row>
    <row r="207">
      <c r="A207" s="70" t="inlineStr">
        <is>
          <t>PR-BP-3</t>
        </is>
      </c>
      <c r="B207" s="70" t="inlineStr">
        <is>
          <t>Pricing</t>
        </is>
      </c>
      <c r="C207" s="70" t="inlineStr">
        <is>
          <t>LEK_FND_Pricing Business Rules &amp; Requirements_v2.docx</t>
        </is>
      </c>
      <c r="D207" s="70" t="inlineStr">
        <is>
          <t>How is bulk pricing determined?</t>
        </is>
      </c>
      <c r="E207" s="70" t="inlineStr">
        <is>
          <t>Buy X qty, get Y price will be the typical offer. Volume required, pricing offered, and % discount from EDLP may vary by product.</t>
        </is>
      </c>
      <c r="F207" s="70" t="inlineStr">
        <is>
          <t>87 (Use Cases)</t>
        </is>
      </c>
      <c r="G207" s="70" t="n">
        <v>1</v>
      </c>
      <c r="H207" s="70" t="inlineStr">
        <is>
          <t>Covered</t>
        </is>
      </c>
    </row>
    <row r="208">
      <c r="A208" s="70" t="inlineStr">
        <is>
          <t>PR-BP-4</t>
        </is>
      </c>
      <c r="B208" s="70" t="inlineStr">
        <is>
          <t>Pricing</t>
        </is>
      </c>
      <c r="C208" s="70" t="inlineStr">
        <is>
          <t>LEK_FND_Pricing Business Rules &amp; Requirements_v2.docx</t>
        </is>
      </c>
      <c r="D208" s="70" t="inlineStr">
        <is>
          <t>How is bulk pricing applied at POS?</t>
        </is>
      </c>
      <c r="E208" s="70" t="inlineStr">
        <is>
          <t>Bulk discounts will be applied at POS through an integration into quoting process. The Veras roadmap includes POS integration in ’26. In the longer term, automatic bulk discounts should be integrated with the digital experience.</t>
        </is>
      </c>
      <c r="F208" s="70" t="inlineStr">
        <is>
          <t>87 (Use Cases)</t>
        </is>
      </c>
      <c r="G208" s="70" t="n">
        <v>1</v>
      </c>
      <c r="H208" s="70" t="inlineStr">
        <is>
          <t>Covered</t>
        </is>
      </c>
    </row>
    <row r="209">
      <c r="A209" s="70" t="inlineStr">
        <is>
          <t>PR-BP-5</t>
        </is>
      </c>
      <c r="B209" s="70" t="inlineStr">
        <is>
          <t>Pricing</t>
        </is>
      </c>
      <c r="C209" s="70" t="inlineStr">
        <is>
          <t>LEK_FND_Pricing Business Rules &amp; Requirements_v2.docx</t>
        </is>
      </c>
      <c r="D209" s="70" t="inlineStr">
        <is>
          <t>Can bulk pricing vary by SKU?</t>
        </is>
      </c>
      <c r="E209" s="70" t="inlineStr">
        <is>
          <t>Yes, bulk pricing must support SKU-specific quantity thresholds and pricing structures, allowing different products to have distinct bulk pricing rules.</t>
        </is>
      </c>
      <c r="F209" s="70" t="inlineStr">
        <is>
          <t>87, 88 (Use Cases)</t>
        </is>
      </c>
      <c r="G209" s="70" t="n">
        <v>2</v>
      </c>
      <c r="H209" s="70" t="inlineStr">
        <is>
          <t>Covered</t>
        </is>
      </c>
    </row>
    <row r="210">
      <c r="A210" s="70" t="inlineStr">
        <is>
          <t>PR-BP-6</t>
        </is>
      </c>
      <c r="B210" s="70" t="inlineStr">
        <is>
          <t>Pricing</t>
        </is>
      </c>
      <c r="C210" s="70" t="inlineStr">
        <is>
          <t>LEK_FND_Pricing Business Rules &amp; Requirements_v2.docx</t>
        </is>
      </c>
      <c r="D210" s="70" t="inlineStr">
        <is>
          <t>How is bulk pricing displayed to associates and PROs?</t>
        </is>
      </c>
      <c r="E210" s="70" t="inlineStr">
        <is>
          <t>Prior to checkout, the PRO provides their account identifier, enabling the POS to recognize applicable pricing and rewards. 
As items are scanned, the POS must track quantity by SKU and automatically apply bulk pricing when defined thresholds are met, updating the unit price in real time.
The POS must clearly reflect the adjusted unit price at checkout, ensuring Associates can confirm and communicate applied discounts to the PRO.
Prior to online checkout, PROs must be logged into their loyalty account. As SKU quantities are input online and hit defined thresholds, the unit price should update in real time. 
Bulk pricing may also be messaged on store tags where available to drive awareness of the program and loyalty sign ups.  
When integrated to the digital experience, bulk pricing should be presented to without login, but should queue a user to create a pro account to redeem.</t>
        </is>
      </c>
      <c r="F210" s="70" t="inlineStr">
        <is>
          <t>229, 230, 235 (Gap &amp; Edge Cases); 87 (Use Cases)</t>
        </is>
      </c>
      <c r="G210" s="70" t="n">
        <v>4</v>
      </c>
      <c r="H210" s="70" t="inlineStr">
        <is>
          <t>Covered</t>
        </is>
      </c>
    </row>
    <row r="211">
      <c r="A211" s="70" t="inlineStr">
        <is>
          <t>PR-BP-7</t>
        </is>
      </c>
      <c r="B211" s="70" t="inlineStr">
        <is>
          <t>Pricing</t>
        </is>
      </c>
      <c r="C211" s="70" t="inlineStr">
        <is>
          <t>LEK_FND_Pricing Business Rules &amp; Requirements_v2.docx</t>
        </is>
      </c>
      <c r="D211" s="70" t="inlineStr">
        <is>
          <t>How are updates to bulk pricing managed?</t>
        </is>
      </c>
      <c r="E211" s="70" t="inlineStr">
        <is>
          <t>The pricing system must support updates to eligible SKUs, quantity thresholds, and pricing tiers, with changes propagated to POS, E-commerce channels, and PRO app in a timely manner to ensure consistency across systems.
Bulk programs, including updates and optimization, will be owned and managed by the merchandising team.  Bulk solution must include configuration IU for Price Execution team.</t>
        </is>
      </c>
      <c r="F211" s="70" t="inlineStr">
        <is>
          <t>231 (Gap &amp; Edge Cases); 49, 51, 88 (Use Cases)</t>
        </is>
      </c>
      <c r="G211" s="70" t="n">
        <v>4</v>
      </c>
      <c r="H211" s="70" t="inlineStr">
        <is>
          <t>Covered</t>
        </is>
      </c>
    </row>
    <row r="212">
      <c r="A212" s="70" t="inlineStr">
        <is>
          <t>PR-BP-8</t>
        </is>
      </c>
      <c r="B212" s="70" t="inlineStr">
        <is>
          <t>Pricing</t>
        </is>
      </c>
      <c r="C212" s="70" t="inlineStr">
        <is>
          <t>LEK_FND_Pricing Business Rules &amp; Requirements_v2.docx</t>
        </is>
      </c>
      <c r="D212" s="70" t="inlineStr">
        <is>
          <t>How does bulk pricing interact with other pricing mechanisms (e.g., promotions)?</t>
        </is>
      </c>
      <c r="E212" s="70" t="inlineStr">
        <is>
          <t>Bulk pricing should not stack with other discounts.  Generally, logic should apply the best discount available, but not stack multiple promotions.  Bulk discounted orders should still be eligible for loyalty rebate programs.</t>
        </is>
      </c>
      <c r="F212" s="70" t="inlineStr">
        <is>
          <t>165 (Gap &amp; Edge Cases)</t>
        </is>
      </c>
      <c r="G212" s="70" t="n">
        <v>1</v>
      </c>
      <c r="H212" s="70" t="inlineStr">
        <is>
          <t>Covered</t>
        </is>
      </c>
    </row>
    <row r="213">
      <c r="A213" s="70" t="inlineStr">
        <is>
          <t>PR-BP-9</t>
        </is>
      </c>
      <c r="B213" s="70" t="inlineStr">
        <is>
          <t>Pricing</t>
        </is>
      </c>
      <c r="C213" s="70" t="inlineStr">
        <is>
          <t>LEK_FND_Pricing Business Rules &amp; Requirements_v2.docx</t>
        </is>
      </c>
      <c r="D213" s="70" t="inlineStr">
        <is>
          <t>Can associates manually provide bulk pricing at POS?</t>
        </is>
      </c>
      <c r="E213" s="70" t="inlineStr">
        <is>
          <t>No manual override of bulk pricing should be permitted at the store level to prevent fraud / abuse; any exceptions must follow defined escalation workflows to ensure pricing consistency and control.
Once systemically enabled, associates should not manually adjust bulk pricing discounts.  Where discretionary MDs are taken in excess of systemic discounts, different MD codes should apply.</t>
        </is>
      </c>
      <c r="F213" s="70" t="inlineStr">
        <is>
          <t>164 (Gap &amp; Edge Cases)</t>
        </is>
      </c>
      <c r="G213" s="70" t="n">
        <v>1</v>
      </c>
      <c r="H213" s="70" t="inlineStr">
        <is>
          <t>Covered</t>
        </is>
      </c>
    </row>
    <row r="214">
      <c r="A214" s="70" t="inlineStr">
        <is>
          <t>PR-BP-10</t>
        </is>
      </c>
      <c r="B214" s="70" t="inlineStr">
        <is>
          <t>Pricing</t>
        </is>
      </c>
      <c r="C214" s="70" t="inlineStr">
        <is>
          <t>LEK_FND_Pricing Business Rules &amp; Requirements_v2.docx</t>
        </is>
      </c>
      <c r="D214" s="70" t="inlineStr">
        <is>
          <t>How is bulk pricing tracked for reporting and analysis?</t>
        </is>
      </c>
      <c r="E214" s="70" t="inlineStr">
        <is>
          <t>The CRM and pricing systems must capture bulk-priced transactions at the account and SKU level, including quantity and applied price, to enable tracking of adoption, margin impact, and program performance.
Ideally, transactions are tracked through MD codes that are integrated throughout transaction data and reporting.</t>
        </is>
      </c>
      <c r="F214" s="70" t="inlineStr">
        <is>
          <t>227 (Gap &amp; Edge Cases)</t>
        </is>
      </c>
      <c r="G214" s="70" t="n">
        <v>1</v>
      </c>
      <c r="H214" s="70" t="inlineStr">
        <is>
          <t>Covered</t>
        </is>
      </c>
    </row>
    <row r="215">
      <c r="A215" s="70" t="inlineStr">
        <is>
          <t>PR-BR-1</t>
        </is>
      </c>
      <c r="B215" s="70" t="inlineStr">
        <is>
          <t>Pricing</t>
        </is>
      </c>
      <c r="C215" s="70" t="inlineStr">
        <is>
          <t>LEK_FND_Pricing Business Rules &amp; Requirements_v2.docx</t>
        </is>
      </c>
      <c r="D215" s="70" t="inlineStr">
        <is>
          <t>Who is eligible for bid room pricing?</t>
        </is>
      </c>
      <c r="E215" s="70" t="inlineStr">
        <is>
          <t>Bid room sized transactions ($5K or more) will push individuals into the Silver tier even with no spend history.  
Bid room transactions can apply for all PRO loyalty accounts, however messaging may indicate that the benefit applies to the Silver tier only.</t>
        </is>
      </c>
      <c r="F215" s="70" t="inlineStr">
        <is>
          <t>132 (Gap &amp; Edge Cases); 89, 90, 94 (Use Cases)</t>
        </is>
      </c>
      <c r="G215" s="70" t="n">
        <v>4</v>
      </c>
      <c r="H215" s="70" t="inlineStr">
        <is>
          <t>Covered</t>
        </is>
      </c>
    </row>
    <row r="216">
      <c r="A216" s="70" t="inlineStr">
        <is>
          <t>PR-BR-2</t>
        </is>
      </c>
      <c r="B216" s="70" t="inlineStr">
        <is>
          <t>Pricing</t>
        </is>
      </c>
      <c r="C216" s="70" t="inlineStr">
        <is>
          <t>LEK_FND_Pricing Business Rules &amp; Requirements_v2.docx</t>
        </is>
      </c>
      <c r="D216" s="70" t="inlineStr">
        <is>
          <t>How is bid room eligibility identified?</t>
        </is>
      </c>
      <c r="E216" s="70" t="inlineStr">
        <is>
          <t>The existing bid room process must be able to identify when a PRO’s cart / project reaches the $5,000 threshold (previously $10,000) and flag eligibility for bid room pricing, prompting associates or notifying PROs to engage the bid room process.
If a PRO is building a cart with the help of the PRO desk, the PRO desk must manually identify bid room eligibility and redirect PRO. 
The process is manual today, but should be streamlined to handle increased volume expected at scale.</t>
        </is>
      </c>
      <c r="F216" s="70" t="inlineStr">
        <is>
          <t>169, 234 (Gap &amp; Edge Cases); 89 (Use Cases)</t>
        </is>
      </c>
      <c r="G216" s="70" t="n">
        <v>3</v>
      </c>
      <c r="H216" s="70" t="inlineStr">
        <is>
          <t>Covered</t>
        </is>
      </c>
    </row>
    <row r="217">
      <c r="A217" s="70" t="inlineStr">
        <is>
          <t>PR-BR-3</t>
        </is>
      </c>
      <c r="B217" s="70" t="inlineStr">
        <is>
          <t>Pricing</t>
        </is>
      </c>
      <c r="C217" s="70" t="inlineStr">
        <is>
          <t>LEK_FND_Pricing Business Rules &amp; Requirements_v2.docx</t>
        </is>
      </c>
      <c r="D217" s="70" t="inlineStr">
        <is>
          <t>How is bid room pricing requested?</t>
        </is>
      </c>
      <c r="E217" s="70" t="inlineStr">
        <is>
          <t>For launch, bid room processes will remain unchanged from the current state. This includes how pricing requests are initiated, how pricing is determined, and how outcomes are communicated to PROs and store associates.
PROs and Associates will continue to engage the bid room through existing channels and workflows (e.g., email, phone), with no new system capabilities or process changes introduced for Beta or Full Launch.
Team to discuss how to control volume to the bid room as workflows and resourcing scale with the demand expected. Current process will have limitations.</t>
        </is>
      </c>
      <c r="F217" s="70" t="inlineStr">
        <is>
          <t>89 (Use Cases)</t>
        </is>
      </c>
      <c r="G217" s="70" t="n">
        <v>1</v>
      </c>
      <c r="H217" s="70" t="inlineStr">
        <is>
          <t>Covered</t>
        </is>
      </c>
    </row>
    <row r="218">
      <c r="A218" s="70" t="inlineStr">
        <is>
          <t>PR-BR-4</t>
        </is>
      </c>
      <c r="B218" s="70" t="inlineStr">
        <is>
          <t>Pricing</t>
        </is>
      </c>
      <c r="C218" s="70" t="inlineStr">
        <is>
          <t>LEK_FND_Pricing Business Rules &amp; Requirements_v2.docx</t>
        </is>
      </c>
      <c r="D218" s="70" t="inlineStr">
        <is>
          <t>How is bid room pricing tracked for reporting and analysis?</t>
        </is>
      </c>
      <c r="E218" s="70" t="inlineStr">
        <is>
          <t>Current tracking systems can be used to track bid room pricing 
MD codes should created and used to define Bid Room transactions. Ideally, codes can be broken out to identify systemic and non-systemic discounting.</t>
        </is>
      </c>
      <c r="F218" s="70" t="inlineStr">
        <is>
          <t>228 (Gap &amp; Edge Cases)</t>
        </is>
      </c>
      <c r="G218" s="70" t="n">
        <v>1</v>
      </c>
      <c r="H218" s="70" t="inlineStr">
        <is>
          <t>Covered</t>
        </is>
      </c>
    </row>
    <row r="219">
      <c r="A219" s="70" t="inlineStr">
        <is>
          <t>SO-AI-1</t>
        </is>
      </c>
      <c r="B219" s="70" t="inlineStr">
        <is>
          <t>Store Operations &amp; Training</t>
        </is>
      </c>
      <c r="C219" s="70" t="inlineStr">
        <is>
          <t>LEK_FND_Store Ops Business Rules &amp; Requirements_v2.docx</t>
        </is>
      </c>
      <c r="D219" s="70" t="inlineStr">
        <is>
          <t>How will associates identify a PRO account at POS?</t>
        </is>
      </c>
      <c r="E219" s="70" t="inlineStr">
        <is>
          <t>POS must allow lookup through the following methods, which must be stored in CRM alongside a program account ID:
QR code scan (preferred method)
Account ID
Email
Phone number
At this time, two-factor authentication would not be required for the sake of efficiency and PRO experience at checkout.</t>
        </is>
      </c>
      <c r="F219" s="70" t="inlineStr">
        <is>
          <t>170, 171 (Gap &amp; Edge Cases); 34, 86, 91, 100 (Use Cases)</t>
        </is>
      </c>
      <c r="G219" s="70" t="n">
        <v>6</v>
      </c>
      <c r="H219" s="70" t="inlineStr">
        <is>
          <t>Covered</t>
        </is>
      </c>
    </row>
    <row r="220">
      <c r="A220" s="70" t="inlineStr">
        <is>
          <t>SO-AI-2</t>
        </is>
      </c>
      <c r="B220" s="70" t="inlineStr">
        <is>
          <t>Store Operations &amp; Training</t>
        </is>
      </c>
      <c r="C220" s="70" t="inlineStr">
        <is>
          <t>LEK_FND_Store Ops Business Rules &amp; Requirements_v2.docx</t>
        </is>
      </c>
      <c r="D220" s="70" t="inlineStr">
        <is>
          <t>What happens if no account is found?</t>
        </is>
      </c>
      <c r="E220" s="70" t="inlineStr">
        <is>
          <t>POS must allow associates to retry the account lookup through the same or alternate methods (as detailed in SO-AI-1), educate PROs on how to create a new account via the app / online, or allow the sale to proceed without an account attribution.
Accounts that proceed without an account are eligible to be retroactively linked to a PRO account, so long as they occur beyond the existing PPR program points earning cutoff timestamp.</t>
        </is>
      </c>
      <c r="F220" s="70" t="inlineStr">
        <is>
          <t>168, 170 (Gap &amp; Edge Cases)</t>
        </is>
      </c>
      <c r="G220" s="70" t="n">
        <v>2</v>
      </c>
      <c r="H220" s="70" t="inlineStr">
        <is>
          <t>Covered</t>
        </is>
      </c>
    </row>
    <row r="221">
      <c r="A221" s="70" t="inlineStr">
        <is>
          <t>SO-AI-3</t>
        </is>
      </c>
      <c r="B221" s="70" t="inlineStr">
        <is>
          <t>Store Operations &amp; Training</t>
        </is>
      </c>
      <c r="C221" s="70" t="inlineStr">
        <is>
          <t>LEK_FND_Store Ops Business Rules &amp; Requirements_v2.docx</t>
        </is>
      </c>
      <c r="D221" s="70" t="inlineStr">
        <is>
          <t>What key information must be visible to Store Associates at checkout during every interaction?</t>
        </is>
      </c>
      <c r="E221" s="70" t="inlineStr">
        <is>
          <t>The POS must display a simplified, real-time view of key PRO status to enable efficient checkout and benefit application including:
Highest priority
Account name (e.g., Larry’s Flooring)
Tier status of account
Moderate priority
User name (e.g., Larry Jackson)
Primary vs. delegate status of user 
Benefit eligibility flags
(if applicable to tier) Benefit usage counters
Progress to next tier
YTD spend
PYTD spend
Nice to have
All additional items included for lookup at the PRO desk may be included for lookup at POS. The information should be bound by access permissions in the case that only managers should be able to view account information. (see below)</t>
        </is>
      </c>
      <c r="F221" s="70" t="inlineStr">
        <is>
          <t>166 (Gap &amp; Edge Cases); 34, 35, 95 (Use Cases)</t>
        </is>
      </c>
      <c r="G221" s="70" t="n">
        <v>4</v>
      </c>
      <c r="H221" s="70" t="inlineStr">
        <is>
          <t>Covered</t>
        </is>
      </c>
    </row>
    <row r="222">
      <c r="A222" s="70" t="inlineStr">
        <is>
          <t>SO-AI-4</t>
        </is>
      </c>
      <c r="B222" s="70" t="inlineStr">
        <is>
          <t>Store Operations &amp; Training</t>
        </is>
      </c>
      <c r="C222" s="70" t="inlineStr">
        <is>
          <t>LEK_FND_Store Ops Business Rules &amp; Requirements_v2.docx</t>
        </is>
      </c>
      <c r="D222" s="70" t="inlineStr">
        <is>
          <t>What information should be available to look up as needed at the PRO desk during each interaction?</t>
        </is>
      </c>
      <c r="E222" s="70" t="inlineStr">
        <is>
          <t>The following must be available for lookup in Salesforce at the PRO desk at minimum with the current lookup process, based on what is stored in each account’s CRM:
PRO type
Flag if PRO is missing any account level information (e.g., email, phone number, etc.)
Current tier prominently displayed
Reward type chosen as applicable (digital gift card vs. rebate)
If applicable, digital gift card balance remaining
If applicable, rebate accumulated to date for next payout period
Benefits available to them (e.g., free delivery, samples, etc.)
If applicable, tracking of benefits they have used (e.g., 2/4 free deliveries used)
PRO history with F&amp;D (i.e., how long they have been a customer)
If possible, these fields should also be available for look-up at POS pending IT feasibility</t>
        </is>
      </c>
      <c r="F222" s="70" t="inlineStr">
        <is>
          <t>167 (Gap &amp; Edge Cases)</t>
        </is>
      </c>
      <c r="G222" s="70" t="n">
        <v>1</v>
      </c>
      <c r="H222" s="70" t="inlineStr">
        <is>
          <t>Covered</t>
        </is>
      </c>
    </row>
    <row r="223">
      <c r="A223" s="70" t="inlineStr">
        <is>
          <t>SO-AI-5</t>
        </is>
      </c>
      <c r="B223" s="70" t="inlineStr">
        <is>
          <t>Store Operations &amp; Training</t>
        </is>
      </c>
      <c r="C223" s="70" t="inlineStr">
        <is>
          <t>LEK_FND_Store Ops Business Rules &amp; Requirements_v2.docx</t>
        </is>
      </c>
      <c r="D223" s="70" t="inlineStr">
        <is>
          <t>How quickly must data update?</t>
        </is>
      </c>
      <c r="E223" s="70" t="inlineStr">
        <is>
          <t>POS / CRM systems must reflect real-time data updates from the loyalty engine to ensure proper tier, spend, and benefit eligibility are shown to Associates.</t>
        </is>
      </c>
      <c r="F223" s="70" t="inlineStr">
        <is>
          <t>34 (Use Cases)</t>
        </is>
      </c>
      <c r="G223" s="70" t="n">
        <v>1</v>
      </c>
      <c r="H223" s="70" t="inlineStr">
        <is>
          <t>Covered</t>
        </is>
      </c>
    </row>
    <row r="224">
      <c r="A224" s="70" t="inlineStr">
        <is>
          <t>SO-AI-6</t>
        </is>
      </c>
      <c r="B224" s="70" t="inlineStr">
        <is>
          <t>Store Operations &amp; Training</t>
        </is>
      </c>
      <c r="C224" s="70" t="inlineStr">
        <is>
          <t>LEK_FND_Store Ops Business Rules &amp; Requirements_v2.docx</t>
        </is>
      </c>
      <c r="D224" s="70" t="inlineStr">
        <is>
          <t>Are there data fields that Associates can add to an account record during PRO interactions?</t>
        </is>
      </c>
      <c r="E224" s="70" t="inlineStr">
        <is>
          <t>No, all account updates and enrichment should be centrally managed through controlled channels (E.g., digital self-service, Customer Care) including:
New account registration for new loyalty members
Missing / updated user information (email, phone number, etc.)
New account delegates
Retroactively add transactions to accounts
Add additional business level detail supporting segmentation (e.g., business type, size, typical project types)
Add additional detail that may impact project-specific delivery (e.g., steep driveway, dirt roads, etc.)
Store Associates should surface missing or outdated information during interactions and direct PROs to the appropriate channel for updates. They should be capable of intelligently explaining the process of adding account information through the PRO app.
When updates in the PRO app are unavailable, Associates must be able to refer PROs to Customer Care to update necessary information.
Customer Care teams will receive specific training on how to walk PROs through common account problem resolution pathways</t>
        </is>
      </c>
      <c r="F224" s="70" t="inlineStr">
        <is>
          <t>150, 232, 233 (Gap &amp; Edge Cases)</t>
        </is>
      </c>
      <c r="G224" s="70" t="n">
        <v>3</v>
      </c>
      <c r="H224" s="70" t="inlineStr">
        <is>
          <t>Covered</t>
        </is>
      </c>
    </row>
    <row r="225">
      <c r="A225" s="70" t="inlineStr">
        <is>
          <t>SO-AI-7</t>
        </is>
      </c>
      <c r="B225" s="70" t="inlineStr">
        <is>
          <t>Store Operations &amp; Training</t>
        </is>
      </c>
      <c r="C225" s="70" t="inlineStr">
        <is>
          <t>LEK_FND_Store Ops Business Rules &amp; Requirements_v2.docx</t>
        </is>
      </c>
      <c r="D225" s="70" t="inlineStr">
        <is>
          <t>What one-time issues might need to be flagged to Associates?</t>
        </is>
      </c>
      <c r="E225" s="70" t="inlineStr">
        <is>
          <t>The POS / loyalty engine must track and report any issues that should be brought to the Associate’s attention at the PRO desk or checkout. This includes, but is not limited to, the following:
Incomplete account data (missing email, phone number)
Account not yet notified of program transition
Account not yet enrolled
Specific design of Store Associate interface is out of scope for this document.</t>
        </is>
      </c>
      <c r="F225" s="70" t="inlineStr">
        <is>
          <t>151 (Gap &amp; Edge Cases); 96 (Use Cases)</t>
        </is>
      </c>
      <c r="G225" s="70" t="n">
        <v>2</v>
      </c>
      <c r="H225" s="70" t="inlineStr">
        <is>
          <t>Covered</t>
        </is>
      </c>
    </row>
    <row r="226">
      <c r="A226" s="70" t="inlineStr">
        <is>
          <t>SO-WF-1</t>
        </is>
      </c>
      <c r="B226" s="70" t="inlineStr">
        <is>
          <t>Store Operations &amp; Training</t>
        </is>
      </c>
      <c r="C226" s="70" t="inlineStr">
        <is>
          <t>LEK_FND_Store Ops Business Rules &amp; Requirements_v2.docx</t>
        </is>
      </c>
      <c r="D226" s="70" t="inlineStr">
        <is>
          <t>Can associates enroll PROs in store?</t>
        </is>
      </c>
      <c r="E226" s="70" t="inlineStr">
        <is>
          <t>No. PROs must enroll directly through the PRO application with associates able to guide and support the process in-store (e.g., at checkout or the PRO desk). The loyalty engine must support a streamlined, self-service account creation flow that is triggered by the PRO app upon completion in-store.
Upon enrollment, the account is automatically created in CRM and the loyalty engine and assigned to the Red tier by default.
Following account creation, the associate will process the transaction. POS must be able to recognize a newly created account (e.g., via phone/email lookup, QR code, or temporary ID) and link the transaction to the new account. If the associated transaction exceeds $5K, the system must evaluate and assign the appropriate tier in real time.</t>
        </is>
      </c>
      <c r="F226" s="70" t="inlineStr">
        <is>
          <t>132 (Gap &amp; Edge Cases); 6, 90, 94 (Use Cases)</t>
        </is>
      </c>
      <c r="G226" s="70" t="n">
        <v>4</v>
      </c>
      <c r="H226" s="70" t="inlineStr">
        <is>
          <t>Covered</t>
        </is>
      </c>
    </row>
    <row r="227">
      <c r="A227" s="70" t="inlineStr">
        <is>
          <t>SO-WF-2</t>
        </is>
      </c>
      <c r="B227" s="70" t="inlineStr">
        <is>
          <t>Store Operations &amp; Training</t>
        </is>
      </c>
      <c r="C227" s="70" t="inlineStr">
        <is>
          <t>LEK_FND_Store Ops Business Rules &amp; Requirements_v2.docx</t>
        </is>
      </c>
      <c r="D227" s="70" t="inlineStr">
        <is>
          <t>What data must be captured by the PRO app to enroll an account?</t>
        </is>
      </c>
      <c r="E227" s="70" t="inlineStr">
        <is>
          <t>The PRO app must require PROs to provide a minimum set of information to trigger account creation in loyalty engine, with associates reinforcing completion in-store:
Account / business name
User name
Email and/or phone number (for verification and account access)
PRO business type
Additional profile attributes should be captured post-enrollment via the app or triggered workflows (e.g., onboarding prompts, reward redemption), minimizing friction at sign-up.
Any additional data fields can be collected later asynchronously through the app or at reward redemption / usage.</t>
        </is>
      </c>
      <c r="F227" s="70" t="inlineStr">
        <is>
          <t>6 (Use Cases)</t>
        </is>
      </c>
      <c r="G227" s="70" t="n">
        <v>1</v>
      </c>
      <c r="H227" s="70" t="inlineStr">
        <is>
          <t>Covered</t>
        </is>
      </c>
    </row>
    <row r="228">
      <c r="A228" s="70" t="inlineStr">
        <is>
          <t>SO-WF-3</t>
        </is>
      </c>
      <c r="B228" s="70" t="inlineStr">
        <is>
          <t>Store Operations &amp; Training</t>
        </is>
      </c>
      <c r="C228" s="70" t="inlineStr">
        <is>
          <t>LEK_FND_Store Ops Business Rules &amp; Requirements_v2.docx</t>
        </is>
      </c>
      <c r="D228" s="70" t="inlineStr">
        <is>
          <t>How is enrollment tied to the first transaction?</t>
        </is>
      </c>
      <c r="E228" s="70" t="inlineStr">
        <is>
          <t>POS and the loyalty engine must support real-time or near real-time linkage of a newly created PRO account to an in-flight or recently completed transaction, ensuring that spend from the first transaction is attributed to the account and eligible for earning and tier evaluation based on defined program rules.</t>
        </is>
      </c>
      <c r="F228" s="70" t="inlineStr">
        <is>
          <t>93 (Use Cases)</t>
        </is>
      </c>
      <c r="G228" s="70" t="n">
        <v>1</v>
      </c>
      <c r="H228" s="70" t="inlineStr">
        <is>
          <t>Covered</t>
        </is>
      </c>
    </row>
    <row r="229">
      <c r="A229" s="70" t="inlineStr">
        <is>
          <t>SO-WF-4</t>
        </is>
      </c>
      <c r="B229" s="70" t="inlineStr">
        <is>
          <t>Store Operations &amp; Training</t>
        </is>
      </c>
      <c r="C229" s="70" t="inlineStr">
        <is>
          <t>LEK_FND_Store Ops Business Rules &amp; Requirements_v2.docx</t>
        </is>
      </c>
      <c r="D229" s="70" t="inlineStr">
        <is>
          <t>What happens if a PRO cannot complete enrollment via PRO app when in store?</t>
        </is>
      </c>
      <c r="E229" s="70" t="inlineStr">
        <is>
          <t>The system must support retroactive attribution of transactions for PROs who cannot complete enrollments, enabling PROs to enroll later via the PRO app and connect prior eligible spend to their new account.</t>
        </is>
      </c>
      <c r="F229" s="70" t="inlineStr">
        <is>
          <t>92 (Use Cases)</t>
        </is>
      </c>
      <c r="G229" s="70" t="n">
        <v>1</v>
      </c>
      <c r="H229" s="70" t="inlineStr">
        <is>
          <t>Covered</t>
        </is>
      </c>
    </row>
    <row r="230">
      <c r="A230" s="70" t="inlineStr">
        <is>
          <t>SO-WF-5</t>
        </is>
      </c>
      <c r="B230" s="70" t="inlineStr">
        <is>
          <t>Store Operations &amp; Training</t>
        </is>
      </c>
      <c r="C230" s="70" t="inlineStr">
        <is>
          <t>LEK_FND_Store Ops Business Rules &amp; Requirements_v2.docx</t>
        </is>
      </c>
      <c r="D230" s="70" t="inlineStr">
        <is>
          <t>How is digital credit redeemed in store?</t>
        </is>
      </c>
      <c r="E230" s="70" t="inlineStr">
        <is>
          <t>POS must support QR code scan and real-time validation of balance via the loyalty engine.</t>
        </is>
      </c>
      <c r="F230" s="70" t="inlineStr">
        <is>
          <t>36 (Use Cases)</t>
        </is>
      </c>
      <c r="G230" s="70" t="n">
        <v>1</v>
      </c>
      <c r="H230" s="70" t="inlineStr">
        <is>
          <t>Covered</t>
        </is>
      </c>
    </row>
    <row r="231">
      <c r="A231" s="70" t="inlineStr">
        <is>
          <t>SO-WF-6</t>
        </is>
      </c>
      <c r="B231" s="70" t="inlineStr">
        <is>
          <t>Store Operations &amp; Training</t>
        </is>
      </c>
      <c r="C231" s="70" t="inlineStr">
        <is>
          <t>LEK_FND_Store Ops Business Rules &amp; Requirements_v2.docx</t>
        </is>
      </c>
      <c r="D231" s="70" t="inlineStr">
        <is>
          <t>How are deliveries redeemed in store?</t>
        </is>
      </c>
      <c r="E231" s="70" t="inlineStr">
        <is>
          <t>POS must support an Associate marking off if a PRO in a qualifying tier wants free delivery for their products (through existing manual processes), which needs to subtract from their yearly allotted total if the PRO is in the Gold tier and be marked accordingly in the POS / CRM systems. Associates at the PRO desk will then coordinate with their local delivery partners to help schedule PRO deliveries</t>
        </is>
      </c>
      <c r="F231" s="70" t="inlineStr">
        <is>
          <t>145 (Gap &amp; Edge Cases); 62, 74 (Use Cases)</t>
        </is>
      </c>
      <c r="G231" s="70" t="n">
        <v>3</v>
      </c>
      <c r="H231" s="70" t="inlineStr">
        <is>
          <t>Covered</t>
        </is>
      </c>
    </row>
    <row r="232">
      <c r="A232" s="70" t="inlineStr">
        <is>
          <t>SO-WF-7</t>
        </is>
      </c>
      <c r="B232" s="70" t="inlineStr">
        <is>
          <t>Store Operations &amp; Training</t>
        </is>
      </c>
      <c r="C232" s="70" t="inlineStr">
        <is>
          <t>LEK_FND_Store Ops Business Rules &amp; Requirements_v2.docx</t>
        </is>
      </c>
      <c r="D232" s="70" t="inlineStr">
        <is>
          <t>How are samples redeemed in store?</t>
        </is>
      </c>
      <c r="E232" s="70" t="inlineStr">
        <is>
          <t>System must support a PRO Desk associate marking off if a PRO in a qualifying tier wants free samples with their purchase. A free sample request should trigger subtraction from their monthly allotted total if the PRO is in the Silver tier and be marked accordingly in the loyalty engine.</t>
        </is>
      </c>
      <c r="F232" s="70" t="inlineStr">
        <is>
          <t>14, 74 (Use Cases)</t>
        </is>
      </c>
      <c r="G232" s="70" t="n">
        <v>2</v>
      </c>
      <c r="H232" s="70" t="inlineStr">
        <is>
          <t>Covered</t>
        </is>
      </c>
    </row>
    <row r="233">
      <c r="A233" s="70" t="inlineStr">
        <is>
          <t>SO-WF-8</t>
        </is>
      </c>
      <c r="B233" s="70" t="inlineStr">
        <is>
          <t>Store Operations &amp; Training</t>
        </is>
      </c>
      <c r="C233" s="70" t="inlineStr">
        <is>
          <t>LEK_FND_Store Ops Business Rules &amp; Requirements_v2.docx</t>
        </is>
      </c>
      <c r="D233" s="70" t="inlineStr">
        <is>
          <t>Can Store Associates override redemption issues?</t>
        </is>
      </c>
      <c r="E233" s="70" t="inlineStr">
        <is>
          <t>No direct override at a store level; the escalation workflow will extend above a store level in these cases to prevent any fraud from PROs or Associates.</t>
        </is>
      </c>
      <c r="F233" s="70" t="inlineStr">
        <is>
          <t>186 (Gap &amp; Edge Cases); 16, 97 (Use Cases)</t>
        </is>
      </c>
      <c r="G233" s="70" t="n">
        <v>3</v>
      </c>
      <c r="H233" s="70" t="inlineStr">
        <is>
          <t>Covered</t>
        </is>
      </c>
    </row>
    <row r="234">
      <c r="A234" s="70" t="inlineStr">
        <is>
          <t>SO-WF-9</t>
        </is>
      </c>
      <c r="B234" s="70" t="inlineStr">
        <is>
          <t>Store Operations &amp; Training</t>
        </is>
      </c>
      <c r="C234" s="70" t="inlineStr">
        <is>
          <t>LEK_FND_Store Ops Business Rules &amp; Requirements_v2.docx</t>
        </is>
      </c>
      <c r="D234" s="70" t="inlineStr">
        <is>
          <t>How are returns handled for loyalty transactions?</t>
        </is>
      </c>
      <c r="E234" s="70" t="inlineStr">
        <is>
          <t>POS must automatically adjust rewards balance based on the returns value according to the exact rules defined in the Financial Award business requirements.</t>
        </is>
      </c>
      <c r="F234" s="70" t="inlineStr">
        <is>
          <t>4, 98 (Use Cases)</t>
        </is>
      </c>
      <c r="G234" s="70" t="n">
        <v>2</v>
      </c>
      <c r="H234" s="70" t="inlineStr">
        <is>
          <t>Covered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38" customWidth="1" min="3" max="3"/>
    <col width="40" customWidth="1" min="4" max="4"/>
    <col width="70" customWidth="1" min="5" max="5"/>
    <col width="36" customWidth="1" min="6" max="6"/>
    <col width="60" customWidth="1" min="7" max="7"/>
  </cols>
  <sheetData>
    <row r="1">
      <c r="A1" s="71" t="inlineStr">
        <is>
          <t>Requirement ID</t>
        </is>
      </c>
      <c r="B1" s="71" t="inlineStr">
        <is>
          <t>Workstream</t>
        </is>
      </c>
      <c r="C1" s="71" t="inlineStr">
        <is>
          <t>Source Document</t>
        </is>
      </c>
      <c r="D1" s="71" t="inlineStr">
        <is>
          <t>Question / Topic</t>
        </is>
      </c>
      <c r="E1" s="71" t="inlineStr">
        <is>
          <t>Response / Conclusion</t>
        </is>
      </c>
      <c r="F1" s="71" t="inlineStr">
        <is>
          <t>Coverage Status</t>
        </is>
      </c>
      <c r="G1" s="71" t="inlineStr">
        <is>
          <t>Recommended Action</t>
        </is>
      </c>
    </row>
    <row r="2">
      <c r="A2" s="70" t="inlineStr">
        <is>
          <t>C-3</t>
        </is>
      </c>
      <c r="B2" s="70" t="inlineStr">
        <is>
          <t>Credit</t>
        </is>
      </c>
      <c r="C2" s="70" t="inlineStr">
        <is>
          <t>LEK_FND_ Credit Business Rules &amp; Requirements_v2.docx</t>
        </is>
      </c>
      <c r="D2" s="70" t="inlineStr">
        <is>
          <t>How will credit offers be applied?</t>
        </is>
      </c>
      <c r="E2" s="70" t="inlineStr">
        <is>
          <t>Credit offers will be determined, managed, and applied through existing credit program systems and processes, independent of the loyalty program and PRO app.</t>
        </is>
      </c>
      <c r="F2" s="70" t="inlineStr">
        <is>
          <t>Out of scope per source</t>
        </is>
      </c>
      <c r="G2" s="70" t="inlineStr">
        <is>
          <t>Credit offers managed externally — independent of loyalty program per source. No use case required.</t>
        </is>
      </c>
    </row>
    <row r="3">
      <c r="A3" s="70" t="inlineStr">
        <is>
          <t>D-IT-2</t>
        </is>
      </c>
      <c r="B3" s="70" t="inlineStr">
        <is>
          <t>Delivery</t>
        </is>
      </c>
      <c r="C3" s="70" t="inlineStr">
        <is>
          <t>LEK_FND_ Delivery Business Rules &amp; Requirements_v2.docx</t>
        </is>
      </c>
      <c r="D3" s="70" t="inlineStr">
        <is>
          <t>How is inventory validated for delivery orders?</t>
        </is>
      </c>
      <c r="E3" s="70" t="inlineStr">
        <is>
          <t>As per current process, the order management system (OMS) must validate product availability at the originating store and pass inventory status to the loyalty workflow to confirm delivery feasibility at time of scheduling.
Inventory and order management will remain unchanged from the current process.</t>
        </is>
      </c>
      <c r="F3" s="70" t="inlineStr">
        <is>
          <t>Out of scope per source</t>
        </is>
      </c>
      <c r="G3" s="70" t="inlineStr">
        <is>
          <t>Inventory and order management remain unchanged from current process per source. No use case required.</t>
        </is>
      </c>
    </row>
    <row r="4">
      <c r="A4" s="70" t="inlineStr">
        <is>
          <t>J-GC-3</t>
        </is>
      </c>
      <c r="B4" s="70" t="inlineStr">
        <is>
          <t>Financial Award</t>
        </is>
      </c>
      <c r="C4" s="70" t="inlineStr">
        <is>
          <t>LEK_FND_ Financial Award Business Rules &amp; Requirements_v4.docx</t>
        </is>
      </c>
      <c r="D4" s="70" t="inlineStr">
        <is>
          <t>Can PROs opt out of F&amp;D Bucks at Silver tier?</t>
        </is>
      </c>
      <c r="E4" s="70" t="inlineStr"/>
      <c r="F4" s="70" t="inlineStr">
        <is>
          <t>Open Question — no rule defined in source</t>
        </is>
      </c>
      <c r="G4" s="70" t="inlineStr">
        <is>
          <t>Decide the rule (see Decision Log) and document, then add a use case.</t>
        </is>
      </c>
    </row>
    <row r="5">
      <c r="A5" s="70" t="inlineStr">
        <is>
          <t>J-CR-4</t>
        </is>
      </c>
      <c r="B5" s="70" t="inlineStr">
        <is>
          <t>Financial Award</t>
        </is>
      </c>
      <c r="C5" s="70" t="inlineStr">
        <is>
          <t>LEK_FND_ Financial Award Business Rules &amp; Requirements_v4.docx</t>
        </is>
      </c>
      <c r="D5" s="70" t="inlineStr">
        <is>
          <t>What happens if a PRO moves from Silver to Gold?</t>
        </is>
      </c>
      <c r="E5" s="70" t="inlineStr"/>
      <c r="F5" s="70" t="inlineStr">
        <is>
          <t>Open Question — no rule defined in source</t>
        </is>
      </c>
      <c r="G5" s="70" t="inlineStr">
        <is>
          <t>Decide the rule (see Decision Log) and document, then add a use case.</t>
        </is>
      </c>
    </row>
    <row r="6">
      <c r="A6" s="70" t="inlineStr">
        <is>
          <t>E-CR-2</t>
        </is>
      </c>
      <c r="B6" s="70" t="inlineStr">
        <is>
          <t>Financial Award</t>
        </is>
      </c>
      <c r="C6" s="70" t="inlineStr">
        <is>
          <t>LEK_FND_ Financial Award Business Rules &amp; Requirements_v4.docx</t>
        </is>
      </c>
      <c r="D6" s="70" t="inlineStr">
        <is>
          <t>How is spend handled when crossing a tier threshold?</t>
        </is>
      </c>
      <c r="E6" s="70" t="inlineStr"/>
      <c r="F6" s="70" t="inlineStr">
        <is>
          <t>Open Question — no rule defined in source</t>
        </is>
      </c>
      <c r="G6" s="70" t="inlineStr">
        <is>
          <t>Decide the rule (see Decision Log) and document, then add a use case.</t>
        </is>
      </c>
    </row>
    <row r="7">
      <c r="A7" s="70" t="inlineStr">
        <is>
          <t>E-CR-3</t>
        </is>
      </c>
      <c r="B7" s="70" t="inlineStr">
        <is>
          <t>Financial Award</t>
        </is>
      </c>
      <c r="C7" s="70" t="inlineStr">
        <is>
          <t>LEK_FND_ Financial Award Business Rules &amp; Requirements_v4.docx</t>
        </is>
      </c>
      <c r="D7" s="70" t="inlineStr">
        <is>
          <t>When does rebate accrual begin?</t>
        </is>
      </c>
      <c r="E7" s="70" t="inlineStr"/>
      <c r="F7" s="70" t="inlineStr">
        <is>
          <t>Open Question — no rule defined in source</t>
        </is>
      </c>
      <c r="G7" s="70" t="inlineStr">
        <is>
          <t>Decide the rule (see Decision Log) and document, then add a use case.</t>
        </is>
      </c>
    </row>
    <row r="8">
      <c r="A8" s="70" t="inlineStr">
        <is>
          <t>R-GC-2</t>
        </is>
      </c>
      <c r="B8" s="70" t="inlineStr">
        <is>
          <t>Financial Award</t>
        </is>
      </c>
      <c r="C8" s="70" t="inlineStr">
        <is>
          <t>LEK_FND_ Financial Award Business Rules &amp; Requirements_v4.docx</t>
        </is>
      </c>
      <c r="D8" s="70" t="inlineStr">
        <is>
          <t>Are F&amp;D Bucks transferable?</t>
        </is>
      </c>
      <c r="E8" s="70" t="inlineStr"/>
      <c r="F8" s="70" t="inlineStr">
        <is>
          <t>Open Question — no rule defined in source</t>
        </is>
      </c>
      <c r="G8" s="70" t="inlineStr">
        <is>
          <t>Decide the rule (see Decision Log) and document, then add a use case.</t>
        </is>
      </c>
    </row>
    <row r="9">
      <c r="A9" s="70" t="inlineStr">
        <is>
          <t>R-CR-1</t>
        </is>
      </c>
      <c r="B9" s="70" t="inlineStr">
        <is>
          <t>Financial Award</t>
        </is>
      </c>
      <c r="C9" s="70" t="inlineStr">
        <is>
          <t>LEK_FND_ Financial Award Business Rules &amp; Requirements_v4.docx</t>
        </is>
      </c>
      <c r="D9" s="70" t="inlineStr">
        <is>
          <t>When are rebates paid out?</t>
        </is>
      </c>
      <c r="E9" s="70" t="inlineStr"/>
      <c r="F9" s="70" t="inlineStr">
        <is>
          <t>Open Question — no rule defined in source</t>
        </is>
      </c>
      <c r="G9" s="70" t="inlineStr">
        <is>
          <t>Decide the rule (see Decision Log) and document, then add a use case.</t>
        </is>
      </c>
    </row>
    <row r="10">
      <c r="A10" s="70" t="inlineStr">
        <is>
          <t>R-CR-2</t>
        </is>
      </c>
      <c r="B10" s="70" t="inlineStr">
        <is>
          <t>Financial Award</t>
        </is>
      </c>
      <c r="C10" s="70" t="inlineStr">
        <is>
          <t>LEK_FND_ Financial Award Business Rules &amp; Requirements_v4.docx</t>
        </is>
      </c>
      <c r="D10" s="70" t="inlineStr">
        <is>
          <t>How are rebate amounts finalized?</t>
        </is>
      </c>
      <c r="E10" s="70" t="inlineStr"/>
      <c r="F10" s="70" t="inlineStr">
        <is>
          <t>Open Question — no rule defined in source</t>
        </is>
      </c>
      <c r="G10" s="70" t="inlineStr">
        <is>
          <t>Decide the rule (see Decision Log) and document, then add a use case.</t>
        </is>
      </c>
    </row>
    <row r="11">
      <c r="A11" s="70" t="inlineStr">
        <is>
          <t>M-GC-6</t>
        </is>
      </c>
      <c r="B11" s="70" t="inlineStr">
        <is>
          <t>Financial Award</t>
        </is>
      </c>
      <c r="C11" s="70" t="inlineStr">
        <is>
          <t>LEK_FND_ Financial Award Business Rules &amp; Requirements_v4.docx</t>
        </is>
      </c>
      <c r="D11" s="70" t="inlineStr">
        <is>
          <t>How quickly can PROs see F&amp;D Bucks after earning them?</t>
        </is>
      </c>
      <c r="E11" s="70" t="inlineStr"/>
      <c r="F11" s="70" t="inlineStr">
        <is>
          <t>Open Question — no rule defined in source</t>
        </is>
      </c>
      <c r="G11" s="70" t="inlineStr">
        <is>
          <t>Decide the rule (see Decision Log) and document, then add a use case.</t>
        </is>
      </c>
    </row>
    <row r="12">
      <c r="A12" s="70" t="inlineStr">
        <is>
          <t>CRM-DF-11</t>
        </is>
      </c>
      <c r="B12" s="70" t="inlineStr">
        <is>
          <t>CRM</t>
        </is>
      </c>
      <c r="C12" s="70" t="inlineStr">
        <is>
          <t>LEK_FND_CRM Business Rules &amp; Requirements_v3.docx</t>
        </is>
      </c>
      <c r="D12" s="70" t="inlineStr">
        <is>
          <t>What data is required for reporting and tracking?</t>
        </is>
      </c>
      <c r="E12" s="70" t="inlineStr">
        <is>
          <t>The CRM must capture and maintain fields necessary to support KPI tracking and reporting.
Detailed KPI definitions are defined separately in collaboration with the Finance &amp; Accounting workstream.</t>
        </is>
      </c>
      <c r="F12" s="70" t="inlineStr">
        <is>
          <t>Unaddressed — no use case maps to this requirement</t>
        </is>
      </c>
      <c r="G12" s="70" t="inlineStr">
        <is>
          <t>Add a use case (or expand an existing one) to cover this rule.</t>
        </is>
      </c>
    </row>
    <row r="13">
      <c r="A13" s="70" t="inlineStr">
        <is>
          <t>CRM-KPI-10</t>
        </is>
      </c>
      <c r="B13" s="70" t="inlineStr">
        <is>
          <t>CRM</t>
        </is>
      </c>
      <c r="C13" s="70" t="inlineStr">
        <is>
          <t>LEK_FND_CRM Business Rules &amp; Requirements_v3.docx</t>
        </is>
      </c>
      <c r="D13" s="70" t="inlineStr">
        <is>
          <t>How are KPI changes managed over time?</t>
        </is>
      </c>
      <c r="E13" s="70" t="inlineStr">
        <is>
          <t>The system must define a process for updating KPI definitions and ensuring changes are version-controlled and consistently applied across reporting.</t>
        </is>
      </c>
      <c r="F13" s="70" t="inlineStr">
        <is>
          <t>Unaddressed — no use case maps to this requirement</t>
        </is>
      </c>
      <c r="G13" s="70" t="inlineStr">
        <is>
          <t>Add a use case (or expand an existing one) to cover this rule.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43"/>
  <sheetViews>
    <sheetView zoomScaleNormal="100" workbookViewId="0">
      <selection activeCell="A1" sqref="A1"/>
    </sheetView>
  </sheetViews>
  <sheetFormatPr baseColWidth="8" defaultColWidth="8.7109375" defaultRowHeight="15"/>
  <cols>
    <col width="36" customWidth="1" min="1" max="1"/>
    <col width="14" customWidth="1" min="2" max="2"/>
  </cols>
  <sheetData>
    <row r="1" ht="17.25" customHeight="1">
      <c r="A1" s="57" t="inlineStr">
        <is>
          <t>Loyalty 2.0 — Use Case Registry</t>
        </is>
      </c>
    </row>
    <row r="2"/>
    <row r="3" ht="15" customHeight="1">
      <c r="A3" s="58" t="inlineStr">
        <is>
          <t>Total use cases</t>
        </is>
      </c>
      <c r="B3" s="59">
        <f>COUNTA('Use Cases'!A2:A200)</f>
        <v/>
      </c>
    </row>
    <row r="4"/>
    <row r="5" ht="15" customHeight="1">
      <c r="A5" s="58" t="inlineStr">
        <is>
          <t>By category</t>
        </is>
      </c>
    </row>
    <row r="6" ht="15" customHeight="1">
      <c r="A6" s="60" t="inlineStr">
        <is>
          <t>Earning / Tier Qualification</t>
        </is>
      </c>
      <c r="B6" s="60">
        <f>COUNTIF('Use Cases'!D:D,"Earning / Tier Qualification")</f>
        <v/>
      </c>
    </row>
    <row r="7" ht="15" customHeight="1">
      <c r="A7" s="60" t="inlineStr">
        <is>
          <t>Benefit Issuance</t>
        </is>
      </c>
      <c r="B7" s="60">
        <f>COUNTIF('Use Cases'!D:D,"Benefit Issuance")</f>
        <v/>
      </c>
    </row>
    <row r="8" ht="15" customHeight="1">
      <c r="A8" s="60" t="inlineStr">
        <is>
          <t>Benefit Redemption</t>
        </is>
      </c>
      <c r="B8" s="60">
        <f>COUNTIF('Use Cases'!D:D,"Benefit Redemption")</f>
        <v/>
      </c>
    </row>
    <row r="9" ht="15" customHeight="1">
      <c r="A9" s="60" t="inlineStr">
        <is>
          <t>Delegation and Grants</t>
        </is>
      </c>
      <c r="B9" s="60">
        <f>COUNTIF('Use Cases'!D:D,"Delegation and Grants")</f>
        <v/>
      </c>
    </row>
    <row r="10" ht="15" customHeight="1">
      <c r="A10" s="60" t="inlineStr">
        <is>
          <t>Account and Identity</t>
        </is>
      </c>
      <c r="B10" s="60">
        <f>COUNTIF('Use Cases'!D:D,"Account and Identity")</f>
        <v/>
      </c>
    </row>
    <row r="11" ht="15" customHeight="1">
      <c r="A11" s="60" t="inlineStr">
        <is>
          <t>POS and Checkout</t>
        </is>
      </c>
      <c r="B11" s="60">
        <f>COUNTIF('Use Cases'!D:D,"POS and Checkout")</f>
        <v/>
      </c>
    </row>
    <row r="12" ht="15" customHeight="1">
      <c r="A12" s="60" t="inlineStr">
        <is>
          <t>QR Codes and Open Grants</t>
        </is>
      </c>
      <c r="B12" s="60">
        <f>COUNTIF('Use Cases'!D:D,"QR Codes and Open Grants")</f>
        <v/>
      </c>
    </row>
    <row r="13" ht="15" customHeight="1">
      <c r="A13" s="60" t="inlineStr">
        <is>
          <t>Notifications</t>
        </is>
      </c>
      <c r="B13" s="60">
        <f>COUNTIF('Use Cases'!D:D,"Notifications")</f>
        <v/>
      </c>
    </row>
    <row r="14" ht="15" customHeight="1">
      <c r="A14" s="60" t="inlineStr">
        <is>
          <t>Operational and Admin</t>
        </is>
      </c>
      <c r="B14" s="60">
        <f>COUNTIF('Use Cases'!D:D,"Operational and Admin")</f>
        <v/>
      </c>
    </row>
    <row r="15" ht="15" customHeight="1">
      <c r="A15" s="60" t="inlineStr">
        <is>
          <t>Financial Award</t>
        </is>
      </c>
      <c r="B15" s="60">
        <f>COUNTIF('Use Cases'!D:D,"Financial Award")</f>
        <v/>
      </c>
    </row>
    <row r="16" ht="15" customHeight="1">
      <c r="A16" s="60" t="inlineStr">
        <is>
          <t>Delivery Benefit</t>
        </is>
      </c>
      <c r="B16" s="60">
        <f>COUNTIF('Use Cases'!D:D,"Delivery Benefit")</f>
        <v/>
      </c>
    </row>
    <row r="17" ht="15" customHeight="1">
      <c r="A17" s="60" t="inlineStr">
        <is>
          <t>PPR Transition</t>
        </is>
      </c>
      <c r="B17" s="60">
        <f>COUNTIF('Use Cases'!D:D,"PPR Transition")</f>
        <v/>
      </c>
    </row>
    <row r="18" ht="15" customHeight="1">
      <c r="A18" s="60" t="inlineStr">
        <is>
          <t>Finance and Accounting</t>
        </is>
      </c>
      <c r="B18" s="60">
        <f>COUNTIF('Use Cases'!D:D,"Finance and Accounting")</f>
        <v/>
      </c>
    </row>
    <row r="19" ht="15" customHeight="1">
      <c r="A19" s="60" t="inlineStr">
        <is>
          <t>Pricing</t>
        </is>
      </c>
      <c r="B19" s="60">
        <f>COUNTIF('Use Cases'!D:D,"Pricing")</f>
        <v/>
      </c>
    </row>
    <row r="20" ht="15" customHeight="1">
      <c r="A20" s="60" t="inlineStr">
        <is>
          <t>Store Operations</t>
        </is>
      </c>
      <c r="B20" s="60">
        <f>COUNTIF('Use Cases'!D:D,"Store Operations")</f>
        <v/>
      </c>
    </row>
    <row r="21" ht="15" customHeight="1">
      <c r="A21" s="60" t="inlineStr">
        <is>
          <t>eCommerce</t>
        </is>
      </c>
      <c r="B21" s="60">
        <f>COUNTIF('Use Cases'!D:D,"eCommerce")</f>
        <v/>
      </c>
    </row>
    <row r="22" ht="15" customHeight="1">
      <c r="A22" s="60" t="inlineStr">
        <is>
          <t>Pro App / BFF</t>
        </is>
      </c>
      <c r="B22" s="60">
        <f>COUNTIF('Use Cases'!D:D,"Pro App / BFF")</f>
        <v/>
      </c>
    </row>
    <row r="23" ht="15" customHeight="1"/>
    <row r="24" ht="15" customHeight="1">
      <c r="A24" s="58" t="inlineStr">
        <is>
          <t>By launch timing</t>
        </is>
      </c>
    </row>
    <row r="25">
      <c r="A25" s="61" t="inlineStr">
        <is>
          <t>Beta</t>
        </is>
      </c>
      <c r="B25" s="60">
        <f>COUNTIF('Use Cases'!J:J,"Beta")</f>
        <v/>
      </c>
    </row>
    <row r="26" ht="15" customHeight="1">
      <c r="A26" s="62" t="inlineStr">
        <is>
          <t>Full Launch</t>
        </is>
      </c>
      <c r="B26" s="60">
        <f>COUNTIF('Use Cases'!J:J,"Full Launch")</f>
        <v/>
      </c>
    </row>
    <row r="27" ht="15" customHeight="1">
      <c r="A27" s="63" t="inlineStr">
        <is>
          <t>Post-Launch</t>
        </is>
      </c>
      <c r="B27" s="60">
        <f>COUNTIF('Use Cases'!J:J,"Post-Launch")</f>
        <v/>
      </c>
    </row>
    <row r="28" ht="15" customHeight="1">
      <c r="A28" s="64" t="inlineStr">
        <is>
          <t>TBD</t>
        </is>
      </c>
      <c r="B28" s="60">
        <f>COUNTIF('Use Cases'!J:J,"TBD")</f>
        <v/>
      </c>
    </row>
    <row r="29" ht="15" customHeight="1"/>
    <row r="30">
      <c r="A30" s="58" t="inlineStr">
        <is>
          <t>By permission model</t>
        </is>
      </c>
    </row>
    <row r="31">
      <c r="A31" s="65" t="inlineStr">
        <is>
          <t>Relationship</t>
        </is>
      </c>
      <c r="B31" s="60">
        <f>COUNTIF('Use Cases'!K:K,"Relationship")</f>
        <v/>
      </c>
    </row>
    <row r="32">
      <c r="A32" s="66" t="inlineStr">
        <is>
          <t>Grant</t>
        </is>
      </c>
      <c r="B32" s="60">
        <f>COUNTIF('Use Cases'!K:K,"Grant")</f>
        <v/>
      </c>
    </row>
    <row r="33">
      <c r="A33" s="67" t="inlineStr">
        <is>
          <t>System</t>
        </is>
      </c>
      <c r="B33" s="60">
        <f>COUNTIF('Use Cases'!K:K,"System")</f>
        <v/>
      </c>
    </row>
    <row r="34">
      <c r="A34" s="64" t="inlineStr">
        <is>
          <t>N/A</t>
        </is>
      </c>
      <c r="B34" s="60">
        <f>COUNTIF('Use Cases'!K:K,"N/A")</f>
        <v/>
      </c>
    </row>
    <row r="35"/>
    <row r="36">
      <c r="A36" s="58" t="inlineStr">
        <is>
          <t>Checkout critical path</t>
        </is>
      </c>
    </row>
    <row r="37">
      <c r="A37" s="68" t="inlineStr">
        <is>
          <t>Yes</t>
        </is>
      </c>
      <c r="B37" s="60">
        <f>COUNTIF('Use Cases'!L:L,"Yes")</f>
        <v/>
      </c>
    </row>
    <row r="38">
      <c r="A38" s="64" t="inlineStr">
        <is>
          <t>No</t>
        </is>
      </c>
      <c r="B38" s="60">
        <f>COUNTIF('Use Cases'!L:L,"No")</f>
        <v/>
      </c>
    </row>
    <row r="39"/>
    <row r="40">
      <c r="A40" s="58" t="inlineStr">
        <is>
          <t>By status</t>
        </is>
      </c>
    </row>
    <row r="41">
      <c r="A41" s="60" t="inlineStr">
        <is>
          <t>Not Started</t>
        </is>
      </c>
      <c r="B41" s="60">
        <f>COUNTIF('Use Cases'!N:N,"Not Started")</f>
        <v/>
      </c>
    </row>
    <row r="42">
      <c r="A42" s="60" t="inlineStr">
        <is>
          <t>In Progress</t>
        </is>
      </c>
      <c r="B42" s="60">
        <f>COUNTIF('Use Cases'!N:N,"In Progress")</f>
        <v/>
      </c>
    </row>
    <row r="43">
      <c r="A43" s="60" t="inlineStr">
        <is>
          <t>Done</t>
        </is>
      </c>
      <c r="B43" s="60">
        <f>COUNTIF('Use Cases'!N:N,"Done")</f>
        <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2026-05-04T19:46:37Z</dcterms:created>
  <dcterms:modified xmlns:dcterms="http://purl.org/dc/terms/" xmlns:xsi="http://www.w3.org/2001/XMLSchema-instance" xsi:type="dcterms:W3CDTF">2026-05-16T03:15:13Z</dcterms:modified>
  <cp:revision>0</cp:revision>
</cp:coreProperties>
</file>